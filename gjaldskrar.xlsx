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Starfsmenn\221 Jónína\raforkuverðsvísitala\"/>
    </mc:Choice>
  </mc:AlternateContent>
  <xr:revisionPtr revIDLastSave="0" documentId="13_ncr:1_{4F66E266-D45A-418D-8D8B-0812DC242717}" xr6:coauthVersionLast="47" xr6:coauthVersionMax="47" xr10:uidLastSave="{00000000-0000-0000-0000-000000000000}"/>
  <bookViews>
    <workbookView xWindow="-22940" yWindow="2660" windowWidth="19200" windowHeight="11250" firstSheet="1" activeTab="5" xr2:uid="{8A8E0564-2304-4E80-886D-8510FA3091DB}"/>
  </bookViews>
  <sheets>
    <sheet name="Skilyrði taxta" sheetId="8" r:id="rId1"/>
    <sheet name="VA210" sheetId="4" r:id="rId2"/>
    <sheet name="VA230" sheetId="2" r:id="rId3"/>
    <sheet name="BD2" sheetId="5" r:id="rId4"/>
    <sheet name="BD3" sheetId="6" r:id="rId5"/>
    <sheet name="BD5" sheetId="7" r:id="rId6"/>
    <sheet name="VNV" sheetId="3" r:id="rId7"/>
    <sheet name="Sala" sheetId="9" r:id="rId8"/>
    <sheet name="Sheet1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5" l="1"/>
  <c r="B10" i="5"/>
  <c r="B23" i="2" l="1"/>
  <c r="E2" i="1"/>
  <c r="I4" i="1"/>
  <c r="I3" i="1"/>
  <c r="I2" i="1"/>
  <c r="E3" i="1"/>
  <c r="E4" i="1"/>
  <c r="E5" i="1"/>
  <c r="E6" i="1"/>
</calcChain>
</file>

<file path=xl/sharedStrings.xml><?xml version="1.0" encoding="utf-8"?>
<sst xmlns="http://schemas.openxmlformats.org/spreadsheetml/2006/main" count="113" uniqueCount="46">
  <si>
    <t>Taxti</t>
  </si>
  <si>
    <t>Ár</t>
  </si>
  <si>
    <t>Útgáfa</t>
  </si>
  <si>
    <t>VA230</t>
  </si>
  <si>
    <t>Orkugjald [kr/kWh]</t>
  </si>
  <si>
    <t>Fasviksgjald [kr/kVARh]</t>
  </si>
  <si>
    <t>Fastagjald [kr/ári]</t>
  </si>
  <si>
    <t>Aflgjald [kr/kW/ári]</t>
  </si>
  <si>
    <t>26b</t>
  </si>
  <si>
    <t>25b</t>
  </si>
  <si>
    <t>23b</t>
  </si>
  <si>
    <t>22b</t>
  </si>
  <si>
    <t>22a</t>
  </si>
  <si>
    <t>21b</t>
  </si>
  <si>
    <t>21a</t>
  </si>
  <si>
    <t>20a</t>
  </si>
  <si>
    <t>19a</t>
  </si>
  <si>
    <t>Fastagjald [kr/ári] (LN)</t>
  </si>
  <si>
    <t>Orkugjald [kr/kWh] (LN)</t>
  </si>
  <si>
    <t>Aflgjald [kr/kW/ári] (LN)</t>
  </si>
  <si>
    <t>Mánuður</t>
  </si>
  <si>
    <t>Fastagjald [kr/ár]</t>
  </si>
  <si>
    <t>Aflgjald [kr/kW/ár]</t>
  </si>
  <si>
    <t>Orkugjald [kr/kWst]</t>
  </si>
  <si>
    <t>Vísitala neysluverðs</t>
  </si>
  <si>
    <t>hækkun milli ára</t>
  </si>
  <si>
    <t>Rarik</t>
  </si>
  <si>
    <t>HSV</t>
  </si>
  <si>
    <t>BD2</t>
  </si>
  <si>
    <t>BD3</t>
  </si>
  <si>
    <t>BD5</t>
  </si>
  <si>
    <t>Afltaxti</t>
  </si>
  <si>
    <t>0,4 kV</t>
  </si>
  <si>
    <t>11 kV</t>
  </si>
  <si>
    <t>(hærra orkugjald en BD2)</t>
  </si>
  <si>
    <t>(hærra aflgjald en BD5)</t>
  </si>
  <si>
    <t>VA210</t>
  </si>
  <si>
    <t>Þéttbýli</t>
  </si>
  <si>
    <t>Dreifbýli</t>
  </si>
  <si>
    <t xml:space="preserve">Söluverð </t>
  </si>
  <si>
    <t xml:space="preserve"> án vsk</t>
  </si>
  <si>
    <t>Flutnings- og dreifikostnaður</t>
  </si>
  <si>
    <t>kr/kWh</t>
  </si>
  <si>
    <t>Mean [kr/kWh]</t>
  </si>
  <si>
    <t>LV [kr/kWh]</t>
  </si>
  <si>
    <t>HV [kr/kWh]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</si>
</sst>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NumberFormat="1" applyFont="1"/>
    <xf numFmtId="43" fontId="0" fillId="0" borderId="0" xfId="1" applyFont="1"/>
    <xf numFmtId="0" fontId="0" fillId="0" borderId="0" xfId="0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right"/>
    </xf>
    <xf numFmtId="43" fontId="0" fillId="0" borderId="0" xfId="0" applyNumberFormat="1"/>
    <xf numFmtId="2" fontId="0" fillId="0" borderId="0" xfId="0" applyNumberForma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2D4F-734D-4D18-9060-DECD07B126BC}">
  <dimension ref="A1:E15"/>
  <sheetViews>
    <sheetView workbookViewId="0">
      <selection activeCell="C16" sqref="C16"/>
    </sheetView>
  </sheetViews>
  <sheetFormatPr defaultRowHeight="14.5" x14ac:dyDescent="0.35"/>
  <sheetData>
    <row r="1" spans="1:5" x14ac:dyDescent="0.35">
      <c r="A1" t="s">
        <v>26</v>
      </c>
    </row>
    <row r="2" spans="1:5" x14ac:dyDescent="0.35">
      <c r="A2" t="s">
        <v>36</v>
      </c>
      <c r="B2" t="s">
        <v>37</v>
      </c>
      <c r="C2" t="s">
        <v>31</v>
      </c>
    </row>
    <row r="3" spans="1:5" x14ac:dyDescent="0.35">
      <c r="A3" t="s">
        <v>3</v>
      </c>
      <c r="B3" t="s">
        <v>38</v>
      </c>
      <c r="C3" t="s">
        <v>31</v>
      </c>
    </row>
    <row r="7" spans="1:5" x14ac:dyDescent="0.35">
      <c r="A7" t="s">
        <v>27</v>
      </c>
    </row>
    <row r="8" spans="1:5" x14ac:dyDescent="0.35">
      <c r="A8" t="s">
        <v>28</v>
      </c>
      <c r="C8" t="s">
        <v>31</v>
      </c>
      <c r="D8" t="s">
        <v>32</v>
      </c>
      <c r="E8" t="s">
        <v>35</v>
      </c>
    </row>
    <row r="9" spans="1:5" x14ac:dyDescent="0.35">
      <c r="A9" t="s">
        <v>29</v>
      </c>
      <c r="C9" t="s">
        <v>31</v>
      </c>
      <c r="D9" t="s">
        <v>33</v>
      </c>
    </row>
    <row r="10" spans="1:5" x14ac:dyDescent="0.35">
      <c r="A10" t="s">
        <v>30</v>
      </c>
      <c r="C10" t="s">
        <v>31</v>
      </c>
      <c r="D10" t="s">
        <v>32</v>
      </c>
      <c r="E10" t="s">
        <v>34</v>
      </c>
    </row>
    <row r="14" spans="1:5" x14ac:dyDescent="0.35">
      <c r="A14" t="s">
        <v>41</v>
      </c>
      <c r="B14" t="s">
        <v>40</v>
      </c>
    </row>
    <row r="15" spans="1:5" x14ac:dyDescent="0.35">
      <c r="A15" t="s">
        <v>39</v>
      </c>
      <c r="B15" t="s">
        <v>40</v>
      </c>
      <c r="C1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B987C-8376-4A34-BEF3-9DBF1AAAC19F}">
  <dimension ref="A1:D22"/>
  <sheetViews>
    <sheetView workbookViewId="0">
      <selection activeCell="F21" sqref="F21"/>
    </sheetView>
  </sheetViews>
  <sheetFormatPr defaultRowHeight="14.5" x14ac:dyDescent="0.35"/>
  <cols>
    <col min="2" max="2" width="10.54296875" bestFit="1" customWidth="1"/>
    <col min="3" max="3" width="9.54296875" bestFit="1" customWidth="1"/>
    <col min="4" max="4" width="9.26953125" bestFit="1" customWidth="1"/>
  </cols>
  <sheetData>
    <row r="1" spans="1:4" x14ac:dyDescent="0.35">
      <c r="B1" t="s">
        <v>21</v>
      </c>
      <c r="C1" t="s">
        <v>22</v>
      </c>
      <c r="D1" t="s">
        <v>23</v>
      </c>
    </row>
    <row r="2" spans="1:4" x14ac:dyDescent="0.35">
      <c r="A2">
        <v>2005</v>
      </c>
      <c r="B2" s="4">
        <v>118381</v>
      </c>
      <c r="C2" s="4">
        <v>4070</v>
      </c>
      <c r="D2" s="7">
        <v>1.1299999999999999</v>
      </c>
    </row>
    <row r="3" spans="1:4" x14ac:dyDescent="0.35">
      <c r="A3">
        <v>2006</v>
      </c>
      <c r="B3" s="4">
        <v>124300</v>
      </c>
      <c r="C3" s="4">
        <v>4274</v>
      </c>
      <c r="D3" s="7">
        <v>1.19</v>
      </c>
    </row>
    <row r="4" spans="1:4" x14ac:dyDescent="0.35">
      <c r="A4">
        <v>2007</v>
      </c>
      <c r="B4" s="4">
        <v>132459</v>
      </c>
      <c r="C4" s="4">
        <v>4554</v>
      </c>
      <c r="D4" s="7">
        <v>1.27</v>
      </c>
    </row>
    <row r="5" spans="1:4" x14ac:dyDescent="0.35">
      <c r="A5">
        <v>2008</v>
      </c>
      <c r="B5" s="4">
        <v>148831</v>
      </c>
      <c r="C5" s="4">
        <v>5117</v>
      </c>
      <c r="D5" s="7">
        <v>1.43</v>
      </c>
    </row>
    <row r="6" spans="1:4" x14ac:dyDescent="0.35">
      <c r="A6">
        <v>2009</v>
      </c>
      <c r="B6" s="4">
        <v>179714</v>
      </c>
      <c r="C6" s="4">
        <v>6179</v>
      </c>
      <c r="D6" s="7">
        <v>1.73</v>
      </c>
    </row>
    <row r="7" spans="1:4" x14ac:dyDescent="0.35">
      <c r="A7">
        <v>2010</v>
      </c>
      <c r="B7" s="4">
        <v>248176</v>
      </c>
      <c r="C7" s="4">
        <v>6622</v>
      </c>
      <c r="D7" s="7">
        <v>1.85</v>
      </c>
    </row>
    <row r="8" spans="1:4" x14ac:dyDescent="0.35">
      <c r="A8">
        <v>2011</v>
      </c>
      <c r="B8" s="4">
        <v>268774</v>
      </c>
      <c r="C8" s="4">
        <v>7171</v>
      </c>
      <c r="D8" s="7">
        <v>2</v>
      </c>
    </row>
    <row r="9" spans="1:4" x14ac:dyDescent="0.35">
      <c r="A9">
        <v>2012</v>
      </c>
      <c r="B9" s="4">
        <v>310434</v>
      </c>
      <c r="C9" s="4">
        <v>7470</v>
      </c>
      <c r="D9" s="7">
        <v>2.09</v>
      </c>
    </row>
    <row r="10" spans="1:4" x14ac:dyDescent="0.35">
      <c r="A10">
        <v>2013</v>
      </c>
      <c r="B10" s="4">
        <v>310434</v>
      </c>
      <c r="C10" s="4">
        <v>7470</v>
      </c>
      <c r="D10" s="7">
        <v>2.09</v>
      </c>
    </row>
    <row r="11" spans="1:4" x14ac:dyDescent="0.35">
      <c r="A11">
        <v>2014</v>
      </c>
      <c r="B11" s="4">
        <v>310434</v>
      </c>
      <c r="C11" s="4">
        <v>7470</v>
      </c>
      <c r="D11" s="7">
        <v>2.09</v>
      </c>
    </row>
    <row r="12" spans="1:4" x14ac:dyDescent="0.35">
      <c r="A12">
        <v>2015</v>
      </c>
      <c r="B12" s="4">
        <v>310434</v>
      </c>
      <c r="C12" s="4">
        <v>7470</v>
      </c>
      <c r="D12" s="7">
        <v>2.09</v>
      </c>
    </row>
    <row r="13" spans="1:4" x14ac:dyDescent="0.35">
      <c r="A13">
        <v>2016</v>
      </c>
      <c r="B13" s="4">
        <v>310434</v>
      </c>
      <c r="C13" s="4">
        <v>7470</v>
      </c>
      <c r="D13" s="7">
        <v>2.09</v>
      </c>
    </row>
    <row r="14" spans="1:4" x14ac:dyDescent="0.35">
      <c r="A14">
        <v>2017</v>
      </c>
      <c r="B14" s="4">
        <v>310434</v>
      </c>
      <c r="C14" s="4">
        <v>7470</v>
      </c>
      <c r="D14" s="7">
        <v>2.2999999999999998</v>
      </c>
    </row>
    <row r="15" spans="1:4" x14ac:dyDescent="0.35">
      <c r="A15">
        <v>2018</v>
      </c>
      <c r="B15" s="4">
        <v>310434</v>
      </c>
      <c r="C15" s="4">
        <v>7470</v>
      </c>
      <c r="D15" s="7">
        <v>2.4500000000000002</v>
      </c>
    </row>
    <row r="16" spans="1:4" x14ac:dyDescent="0.35">
      <c r="A16">
        <v>2019</v>
      </c>
      <c r="B16" s="4">
        <v>316332</v>
      </c>
      <c r="C16" s="4">
        <v>7612</v>
      </c>
      <c r="D16" s="7">
        <v>2.5</v>
      </c>
    </row>
    <row r="17" spans="1:4" x14ac:dyDescent="0.35">
      <c r="A17">
        <v>2020</v>
      </c>
      <c r="B17" s="4">
        <v>324241</v>
      </c>
      <c r="C17" s="4">
        <v>7802</v>
      </c>
      <c r="D17" s="7">
        <v>2.56</v>
      </c>
    </row>
    <row r="18" spans="1:4" x14ac:dyDescent="0.35">
      <c r="A18">
        <v>2021</v>
      </c>
      <c r="B18" s="4">
        <v>333319</v>
      </c>
      <c r="C18" s="4">
        <v>8021</v>
      </c>
      <c r="D18" s="7">
        <v>2.63</v>
      </c>
    </row>
    <row r="19" spans="1:4" x14ac:dyDescent="0.35">
      <c r="A19">
        <v>2022</v>
      </c>
      <c r="B19" s="4">
        <v>354318</v>
      </c>
      <c r="C19" s="4">
        <v>8526</v>
      </c>
      <c r="D19" s="7">
        <v>2.8</v>
      </c>
    </row>
    <row r="20" spans="1:4" x14ac:dyDescent="0.35">
      <c r="A20">
        <v>2023</v>
      </c>
      <c r="B20" s="4">
        <v>386207</v>
      </c>
      <c r="C20" s="4">
        <v>9293</v>
      </c>
      <c r="D20" s="7">
        <v>3.05</v>
      </c>
    </row>
    <row r="21" spans="1:4" x14ac:dyDescent="0.35">
      <c r="A21">
        <v>2024</v>
      </c>
      <c r="B21" s="4">
        <v>437907</v>
      </c>
      <c r="C21" s="4">
        <v>11338</v>
      </c>
      <c r="D21" s="7">
        <v>3.58</v>
      </c>
    </row>
    <row r="22" spans="1:4" x14ac:dyDescent="0.35">
      <c r="A22">
        <v>2025</v>
      </c>
      <c r="B22" s="4">
        <v>487933</v>
      </c>
      <c r="C22" s="4">
        <v>13547</v>
      </c>
      <c r="D22" s="7">
        <v>4.12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7BEB1-1D8F-4F5A-A4EE-AF055E1193CB}">
  <dimension ref="A1:F23"/>
  <sheetViews>
    <sheetView workbookViewId="0">
      <selection activeCell="F29" sqref="F29"/>
    </sheetView>
  </sheetViews>
  <sheetFormatPr defaultRowHeight="14.5" x14ac:dyDescent="0.35"/>
  <cols>
    <col min="2" max="2" width="11.54296875" bestFit="1" customWidth="1"/>
    <col min="3" max="4" width="10.54296875" bestFit="1" customWidth="1"/>
    <col min="6" max="6" width="14.26953125" bestFit="1" customWidth="1"/>
  </cols>
  <sheetData>
    <row r="1" spans="1:6" x14ac:dyDescent="0.35">
      <c r="B1" t="s">
        <v>21</v>
      </c>
      <c r="C1" t="s">
        <v>22</v>
      </c>
      <c r="D1" t="s">
        <v>23</v>
      </c>
    </row>
    <row r="2" spans="1:6" x14ac:dyDescent="0.35">
      <c r="A2">
        <v>2005</v>
      </c>
      <c r="B2" s="2">
        <v>140845</v>
      </c>
      <c r="C2" s="2">
        <v>4843</v>
      </c>
      <c r="D2" s="2">
        <v>1.35</v>
      </c>
      <c r="F2" s="6"/>
    </row>
    <row r="3" spans="1:6" x14ac:dyDescent="0.35">
      <c r="A3">
        <v>2006</v>
      </c>
      <c r="B3" s="2">
        <v>147887</v>
      </c>
      <c r="C3" s="2">
        <v>5085</v>
      </c>
      <c r="D3" s="2">
        <v>1.52</v>
      </c>
      <c r="F3" s="6"/>
    </row>
    <row r="4" spans="1:6" x14ac:dyDescent="0.35">
      <c r="A4">
        <v>2007</v>
      </c>
      <c r="B4" s="2">
        <v>164206</v>
      </c>
      <c r="C4" s="2">
        <v>5646</v>
      </c>
      <c r="D4" s="2">
        <v>1.8</v>
      </c>
      <c r="F4" s="6"/>
    </row>
    <row r="5" spans="1:6" x14ac:dyDescent="0.35">
      <c r="A5">
        <v>2008</v>
      </c>
      <c r="B5" s="2">
        <v>184501</v>
      </c>
      <c r="C5" s="2">
        <v>6344</v>
      </c>
      <c r="D5" s="2">
        <v>2.0499999999999998</v>
      </c>
      <c r="F5" s="6"/>
    </row>
    <row r="6" spans="1:6" x14ac:dyDescent="0.35">
      <c r="A6">
        <v>2009</v>
      </c>
      <c r="B6" s="2">
        <v>222785</v>
      </c>
      <c r="C6" s="2">
        <v>7661</v>
      </c>
      <c r="D6" s="2">
        <v>2.58</v>
      </c>
      <c r="F6" s="6"/>
    </row>
    <row r="7" spans="1:6" x14ac:dyDescent="0.35">
      <c r="A7">
        <v>2010</v>
      </c>
      <c r="B7" s="2">
        <v>307210</v>
      </c>
      <c r="C7" s="2">
        <v>8198</v>
      </c>
      <c r="D7" s="2">
        <v>2.79</v>
      </c>
      <c r="F7" s="6"/>
    </row>
    <row r="8" spans="1:6" x14ac:dyDescent="0.35">
      <c r="A8">
        <v>2011</v>
      </c>
      <c r="B8" s="2">
        <v>352671</v>
      </c>
      <c r="C8" s="2">
        <v>9322</v>
      </c>
      <c r="D8" s="2">
        <v>2.61</v>
      </c>
      <c r="F8" s="6"/>
    </row>
    <row r="9" spans="1:6" x14ac:dyDescent="0.35">
      <c r="A9">
        <v>2012</v>
      </c>
      <c r="B9" s="2">
        <v>417033</v>
      </c>
      <c r="C9" s="2">
        <v>9720</v>
      </c>
      <c r="D9" s="2">
        <v>2.75</v>
      </c>
      <c r="F9" s="6"/>
    </row>
    <row r="10" spans="1:6" x14ac:dyDescent="0.35">
      <c r="A10">
        <v>2013</v>
      </c>
      <c r="B10" s="2">
        <v>450396</v>
      </c>
      <c r="C10" s="2">
        <v>10498</v>
      </c>
      <c r="D10" s="2">
        <v>3</v>
      </c>
      <c r="F10" s="6"/>
    </row>
    <row r="11" spans="1:6" x14ac:dyDescent="0.35">
      <c r="A11">
        <v>2014</v>
      </c>
      <c r="B11" s="2">
        <v>470664</v>
      </c>
      <c r="C11" s="2">
        <v>10971</v>
      </c>
      <c r="D11" s="2">
        <v>3.72</v>
      </c>
      <c r="F11" s="6"/>
    </row>
    <row r="12" spans="1:6" x14ac:dyDescent="0.35">
      <c r="A12">
        <v>2015</v>
      </c>
      <c r="B12" s="2">
        <v>470664</v>
      </c>
      <c r="C12" s="2">
        <v>10971</v>
      </c>
      <c r="D12" s="2">
        <v>4</v>
      </c>
      <c r="F12" s="6"/>
    </row>
    <row r="13" spans="1:6" x14ac:dyDescent="0.35">
      <c r="A13">
        <v>2016</v>
      </c>
      <c r="B13" s="2">
        <v>470664</v>
      </c>
      <c r="C13" s="2">
        <v>10971</v>
      </c>
      <c r="D13" s="2">
        <v>4.7</v>
      </c>
      <c r="F13" s="6"/>
    </row>
    <row r="14" spans="1:6" x14ac:dyDescent="0.35">
      <c r="A14">
        <v>2017</v>
      </c>
      <c r="B14" s="2">
        <v>470664</v>
      </c>
      <c r="C14" s="2">
        <v>10971</v>
      </c>
      <c r="D14" s="2">
        <v>5.32</v>
      </c>
      <c r="F14" s="6"/>
    </row>
    <row r="15" spans="1:6" x14ac:dyDescent="0.35">
      <c r="A15">
        <v>2018</v>
      </c>
      <c r="B15" s="2">
        <v>470664</v>
      </c>
      <c r="C15" s="2">
        <v>10971</v>
      </c>
      <c r="D15" s="2">
        <v>5.93</v>
      </c>
      <c r="F15" s="6"/>
    </row>
    <row r="16" spans="1:6" x14ac:dyDescent="0.35">
      <c r="A16">
        <v>2019</v>
      </c>
      <c r="B16" s="2">
        <v>482901</v>
      </c>
      <c r="C16" s="2">
        <v>11256</v>
      </c>
      <c r="D16" s="2">
        <v>6.08</v>
      </c>
      <c r="F16" s="6"/>
    </row>
    <row r="17" spans="1:6" x14ac:dyDescent="0.35">
      <c r="A17">
        <v>2020</v>
      </c>
      <c r="B17" s="2">
        <v>494974</v>
      </c>
      <c r="C17" s="2">
        <v>11538</v>
      </c>
      <c r="D17" s="2">
        <v>6.24</v>
      </c>
      <c r="F17" s="6"/>
    </row>
    <row r="18" spans="1:6" x14ac:dyDescent="0.35">
      <c r="A18">
        <v>2021</v>
      </c>
      <c r="B18" s="2">
        <v>648148</v>
      </c>
      <c r="C18" s="2">
        <v>15597</v>
      </c>
      <c r="D18" s="2">
        <v>5.12</v>
      </c>
      <c r="F18" s="6"/>
    </row>
    <row r="19" spans="1:6" x14ac:dyDescent="0.35">
      <c r="A19">
        <v>2022</v>
      </c>
      <c r="B19" s="2">
        <v>685783</v>
      </c>
      <c r="C19" s="2">
        <v>16502</v>
      </c>
      <c r="D19" s="2">
        <v>5.41</v>
      </c>
      <c r="F19" s="6"/>
    </row>
    <row r="20" spans="1:6" x14ac:dyDescent="0.35">
      <c r="A20">
        <v>2023</v>
      </c>
      <c r="B20" s="2">
        <v>730359</v>
      </c>
      <c r="C20" s="2">
        <v>17575</v>
      </c>
      <c r="D20" s="2">
        <v>5.76</v>
      </c>
      <c r="F20" s="6"/>
    </row>
    <row r="21" spans="1:6" x14ac:dyDescent="0.35">
      <c r="A21">
        <v>2024</v>
      </c>
      <c r="B21" s="2">
        <v>815471</v>
      </c>
      <c r="C21" s="2">
        <v>20424</v>
      </c>
      <c r="D21" s="2">
        <v>6.56</v>
      </c>
      <c r="F21" s="6"/>
    </row>
    <row r="22" spans="1:6" x14ac:dyDescent="0.35">
      <c r="A22">
        <v>2025</v>
      </c>
      <c r="B22" s="2">
        <v>907936</v>
      </c>
      <c r="C22" s="2">
        <v>23654</v>
      </c>
      <c r="D22" s="2">
        <v>7.43</v>
      </c>
      <c r="F22" s="6"/>
    </row>
    <row r="23" spans="1:6" x14ac:dyDescent="0.35">
      <c r="A23">
        <v>2026</v>
      </c>
      <c r="B23" s="2">
        <f>2721*365</f>
        <v>993165</v>
      </c>
      <c r="C23" s="2">
        <v>19797</v>
      </c>
      <c r="D23" s="2">
        <v>7.73</v>
      </c>
      <c r="F23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2C13-0048-4BB5-A7EA-BA5CE0A8654D}">
  <dimension ref="A1:H10"/>
  <sheetViews>
    <sheetView workbookViewId="0">
      <selection activeCell="F18" sqref="F18"/>
    </sheetView>
  </sheetViews>
  <sheetFormatPr defaultRowHeight="14.5" x14ac:dyDescent="0.35"/>
  <sheetData>
    <row r="1" spans="1:8" x14ac:dyDescent="0.35">
      <c r="B1" t="s">
        <v>21</v>
      </c>
      <c r="C1" t="s">
        <v>22</v>
      </c>
      <c r="D1" t="s">
        <v>23</v>
      </c>
      <c r="F1" t="s">
        <v>21</v>
      </c>
      <c r="G1" t="s">
        <v>22</v>
      </c>
      <c r="H1" t="s">
        <v>23</v>
      </c>
    </row>
    <row r="2" spans="1:8" x14ac:dyDescent="0.35">
      <c r="A2">
        <v>2018</v>
      </c>
      <c r="B2">
        <v>136619.5</v>
      </c>
      <c r="C2">
        <v>13629</v>
      </c>
      <c r="D2">
        <v>1.8914</v>
      </c>
    </row>
    <row r="3" spans="1:8" x14ac:dyDescent="0.35">
      <c r="A3">
        <v>2019</v>
      </c>
      <c r="B3">
        <v>136619.5</v>
      </c>
      <c r="C3">
        <v>13676</v>
      </c>
      <c r="D3">
        <v>1.8975</v>
      </c>
    </row>
    <row r="4" spans="1:8" x14ac:dyDescent="0.35">
      <c r="A4">
        <v>2020</v>
      </c>
      <c r="B4">
        <v>136619.5</v>
      </c>
      <c r="C4">
        <v>13807</v>
      </c>
      <c r="D4">
        <v>1.9144999999999999</v>
      </c>
    </row>
    <row r="5" spans="1:8" x14ac:dyDescent="0.35">
      <c r="A5">
        <v>2021</v>
      </c>
      <c r="B5">
        <v>150281.45000000001</v>
      </c>
      <c r="C5">
        <v>15183</v>
      </c>
      <c r="D5">
        <v>2.1052</v>
      </c>
    </row>
    <row r="6" spans="1:8" x14ac:dyDescent="0.35">
      <c r="A6">
        <v>2022</v>
      </c>
      <c r="B6">
        <v>157793.15</v>
      </c>
      <c r="C6">
        <v>15646</v>
      </c>
      <c r="D6">
        <v>2.1720999999999999</v>
      </c>
    </row>
    <row r="7" spans="1:8" x14ac:dyDescent="0.35">
      <c r="A7">
        <v>2023</v>
      </c>
      <c r="B7">
        <v>182350.34999999998</v>
      </c>
      <c r="C7">
        <v>17972</v>
      </c>
      <c r="D7">
        <v>2.4961000000000002</v>
      </c>
    </row>
    <row r="8" spans="1:8" x14ac:dyDescent="0.35">
      <c r="A8">
        <v>2024</v>
      </c>
      <c r="B8">
        <v>182350.34999999998</v>
      </c>
      <c r="C8">
        <v>18848</v>
      </c>
      <c r="D8">
        <v>2.6094999999999997</v>
      </c>
    </row>
    <row r="9" spans="1:8" x14ac:dyDescent="0.35">
      <c r="A9">
        <v>2025</v>
      </c>
      <c r="B9">
        <v>182350.34999999998</v>
      </c>
      <c r="C9">
        <v>20706</v>
      </c>
      <c r="D9">
        <v>2.8393999999999999</v>
      </c>
    </row>
    <row r="10" spans="1:8" x14ac:dyDescent="0.35">
      <c r="A10">
        <v>2026</v>
      </c>
      <c r="B10">
        <f>499.59*365</f>
        <v>182350.34999999998</v>
      </c>
      <c r="C10">
        <v>19929</v>
      </c>
      <c r="D10">
        <f>1.6235+1.1161</f>
        <v>2.7396000000000003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6600-8887-4A97-8911-A1A40995393D}">
  <dimension ref="A1"/>
  <sheetViews>
    <sheetView workbookViewId="0">
      <selection activeCell="D25" sqref="D25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61F0-3DDA-4E08-B012-1134C617DCA3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64243-74EE-447F-94BC-D899780E99B6}">
  <dimension ref="A1:C27"/>
  <sheetViews>
    <sheetView workbookViewId="0">
      <selection activeCell="G12" sqref="G12"/>
    </sheetView>
  </sheetViews>
  <sheetFormatPr defaultRowHeight="14.5" x14ac:dyDescent="0.35"/>
  <sheetData>
    <row r="1" spans="1:3" x14ac:dyDescent="0.35">
      <c r="B1" t="s">
        <v>24</v>
      </c>
      <c r="C1" t="s">
        <v>25</v>
      </c>
    </row>
    <row r="2" spans="1:3" x14ac:dyDescent="0.35">
      <c r="A2">
        <v>0</v>
      </c>
      <c r="B2">
        <v>195.5</v>
      </c>
    </row>
    <row r="3" spans="1:3" x14ac:dyDescent="0.35">
      <c r="A3">
        <v>2001</v>
      </c>
      <c r="B3">
        <v>202.4</v>
      </c>
      <c r="C3">
        <v>3.529411764705892E-2</v>
      </c>
    </row>
    <row r="4" spans="1:3" x14ac:dyDescent="0.35">
      <c r="A4">
        <v>2002</v>
      </c>
      <c r="B4">
        <v>221.5</v>
      </c>
      <c r="C4">
        <v>9.436758893280639E-2</v>
      </c>
    </row>
    <row r="5" spans="1:3" x14ac:dyDescent="0.35">
      <c r="A5">
        <v>2003</v>
      </c>
      <c r="B5">
        <v>224.7</v>
      </c>
      <c r="C5">
        <v>1.4446952595936757E-2</v>
      </c>
    </row>
    <row r="6" spans="1:3" x14ac:dyDescent="0.35">
      <c r="A6">
        <v>2004</v>
      </c>
      <c r="B6">
        <v>230.1</v>
      </c>
      <c r="C6">
        <v>2.4032042723631575E-2</v>
      </c>
    </row>
    <row r="7" spans="1:3" x14ac:dyDescent="0.35">
      <c r="A7">
        <v>2005</v>
      </c>
      <c r="B7">
        <v>239.2</v>
      </c>
      <c r="C7">
        <v>3.9548022598870025E-2</v>
      </c>
    </row>
    <row r="8" spans="1:3" x14ac:dyDescent="0.35">
      <c r="A8">
        <v>2006</v>
      </c>
      <c r="B8">
        <v>249.7</v>
      </c>
      <c r="C8">
        <v>4.3896321070234112E-2</v>
      </c>
    </row>
    <row r="9" spans="1:3" x14ac:dyDescent="0.35">
      <c r="A9">
        <v>2007</v>
      </c>
      <c r="B9">
        <v>266.89999999999998</v>
      </c>
      <c r="C9">
        <v>6.8882659191029205E-2</v>
      </c>
    </row>
    <row r="10" spans="1:3" x14ac:dyDescent="0.35">
      <c r="A10">
        <v>2008</v>
      </c>
      <c r="B10">
        <v>282.3</v>
      </c>
      <c r="C10">
        <v>5.7699512926189689E-2</v>
      </c>
    </row>
    <row r="11" spans="1:3" x14ac:dyDescent="0.35">
      <c r="A11">
        <v>2009</v>
      </c>
      <c r="B11">
        <v>334.8</v>
      </c>
      <c r="C11">
        <v>0.18597236981934118</v>
      </c>
    </row>
    <row r="12" spans="1:3" x14ac:dyDescent="0.35">
      <c r="A12">
        <v>2010</v>
      </c>
      <c r="B12">
        <v>356.8</v>
      </c>
      <c r="C12">
        <v>6.5710872162485057E-2</v>
      </c>
    </row>
    <row r="13" spans="1:3" x14ac:dyDescent="0.35">
      <c r="A13">
        <v>2011</v>
      </c>
      <c r="B13">
        <v>363.4</v>
      </c>
      <c r="C13">
        <v>1.8497757847533602E-2</v>
      </c>
    </row>
    <row r="14" spans="1:3" x14ac:dyDescent="0.35">
      <c r="A14">
        <v>2012</v>
      </c>
      <c r="B14">
        <v>387.1</v>
      </c>
      <c r="C14">
        <v>6.5217391304347894E-2</v>
      </c>
    </row>
    <row r="15" spans="1:3" x14ac:dyDescent="0.35">
      <c r="A15">
        <v>2013</v>
      </c>
      <c r="B15">
        <v>403.3</v>
      </c>
      <c r="C15">
        <v>4.1849651252906295E-2</v>
      </c>
    </row>
    <row r="16" spans="1:3" x14ac:dyDescent="0.35">
      <c r="A16">
        <v>2014</v>
      </c>
      <c r="B16">
        <v>415.9</v>
      </c>
      <c r="C16">
        <v>3.1242251425737555E-2</v>
      </c>
    </row>
    <row r="17" spans="1:3" x14ac:dyDescent="0.35">
      <c r="A17">
        <v>2015</v>
      </c>
      <c r="B17">
        <v>419.3</v>
      </c>
      <c r="C17">
        <v>8.1750420774224786E-3</v>
      </c>
    </row>
    <row r="18" spans="1:3" x14ac:dyDescent="0.35">
      <c r="A18">
        <v>2016</v>
      </c>
      <c r="B18">
        <v>428.3</v>
      </c>
      <c r="C18">
        <v>2.1464345337467217E-2</v>
      </c>
    </row>
    <row r="19" spans="1:3" x14ac:dyDescent="0.35">
      <c r="A19">
        <v>2017</v>
      </c>
      <c r="B19">
        <v>436.5</v>
      </c>
      <c r="C19">
        <v>1.9145458790567282E-2</v>
      </c>
    </row>
    <row r="20" spans="1:3" x14ac:dyDescent="0.35">
      <c r="A20">
        <v>2018</v>
      </c>
      <c r="B20">
        <v>446.8</v>
      </c>
      <c r="C20">
        <v>2.3596792668957534E-2</v>
      </c>
    </row>
    <row r="21" spans="1:3" x14ac:dyDescent="0.35">
      <c r="A21">
        <v>2019</v>
      </c>
      <c r="B21">
        <v>462</v>
      </c>
      <c r="C21">
        <v>3.401969561324969E-2</v>
      </c>
    </row>
    <row r="22" spans="1:3" x14ac:dyDescent="0.35">
      <c r="A22">
        <v>2020</v>
      </c>
      <c r="B22">
        <v>469.8</v>
      </c>
      <c r="C22">
        <v>1.6883116883116944E-2</v>
      </c>
    </row>
    <row r="23" spans="1:3" x14ac:dyDescent="0.35">
      <c r="A23">
        <v>2021</v>
      </c>
      <c r="B23">
        <v>490</v>
      </c>
      <c r="C23">
        <v>4.2997020008514131E-2</v>
      </c>
    </row>
    <row r="24" spans="1:3" x14ac:dyDescent="0.35">
      <c r="A24">
        <v>2022</v>
      </c>
      <c r="B24">
        <v>517.9</v>
      </c>
      <c r="C24">
        <v>5.6938775510203987E-2</v>
      </c>
    </row>
    <row r="25" spans="1:3" x14ac:dyDescent="0.35">
      <c r="A25">
        <v>2023</v>
      </c>
      <c r="B25">
        <v>560.9</v>
      </c>
      <c r="C25">
        <v>8.3027611508013077E-2</v>
      </c>
    </row>
    <row r="26" spans="1:3" x14ac:dyDescent="0.35">
      <c r="A26">
        <v>2024</v>
      </c>
      <c r="B26">
        <v>607.29999999999995</v>
      </c>
      <c r="C26">
        <v>8.2724193260830692E-2</v>
      </c>
    </row>
    <row r="27" spans="1:3" x14ac:dyDescent="0.35">
      <c r="A27">
        <v>2025</v>
      </c>
      <c r="B27">
        <v>635.5</v>
      </c>
      <c r="C27">
        <v>4.6435040342499567E-2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AD7AC-91A4-4CD4-8EC5-4DD59B44B5E5}">
  <dimension ref="A1:D17"/>
  <sheetViews>
    <sheetView zoomScaleNormal="100" workbookViewId="0">
      <selection activeCell="I29" sqref="I29"/>
    </sheetView>
  </sheetViews>
  <sheetFormatPr defaultRowHeight="14.5" x14ac:dyDescent="0.35"/>
  <sheetData>
    <row r="1" spans="1:4" x14ac:dyDescent="0.35">
      <c r="B1" t="s">
        <v>45</v>
      </c>
      <c r="C1" t="s">
        <v>44</v>
      </c>
      <c r="D1" t="s">
        <v>43</v>
      </c>
    </row>
    <row r="2" spans="1:4" x14ac:dyDescent="0.35">
      <c r="A2">
        <v>2011</v>
      </c>
      <c r="B2" s="8">
        <v>4.6100000000000003</v>
      </c>
      <c r="C2" s="8">
        <v>4.3499999999999996</v>
      </c>
      <c r="D2" s="8">
        <v>4.5425000000000004</v>
      </c>
    </row>
    <row r="3" spans="1:4" x14ac:dyDescent="0.35">
      <c r="A3">
        <v>2012</v>
      </c>
      <c r="B3" s="8">
        <v>4.74</v>
      </c>
      <c r="C3" s="8">
        <v>4.47</v>
      </c>
      <c r="D3" s="8">
        <v>4.72</v>
      </c>
    </row>
    <row r="4" spans="1:4" x14ac:dyDescent="0.35">
      <c r="A4">
        <v>2013</v>
      </c>
      <c r="B4" s="8">
        <v>4.97</v>
      </c>
      <c r="C4" s="8">
        <v>4.7</v>
      </c>
      <c r="D4" s="8">
        <v>4.9024999999999999</v>
      </c>
    </row>
    <row r="5" spans="1:4" x14ac:dyDescent="0.35">
      <c r="A5">
        <v>2014</v>
      </c>
      <c r="B5" s="8">
        <v>5.08</v>
      </c>
      <c r="C5" s="8">
        <v>4.8600000000000003</v>
      </c>
      <c r="D5" s="8">
        <v>5.0674999999999999</v>
      </c>
    </row>
    <row r="6" spans="1:4" x14ac:dyDescent="0.35">
      <c r="A6">
        <v>2015</v>
      </c>
      <c r="B6" s="8">
        <v>5.35</v>
      </c>
      <c r="C6" s="8">
        <v>4.9800000000000004</v>
      </c>
      <c r="D6" s="8">
        <v>5.3425000000000002</v>
      </c>
    </row>
    <row r="7" spans="1:4" x14ac:dyDescent="0.35">
      <c r="A7">
        <v>2016</v>
      </c>
      <c r="B7" s="8">
        <v>5.64</v>
      </c>
      <c r="C7" s="8">
        <v>5.4</v>
      </c>
      <c r="D7" s="8">
        <v>5.7725</v>
      </c>
    </row>
    <row r="8" spans="1:4" x14ac:dyDescent="0.35">
      <c r="A8">
        <v>2017</v>
      </c>
      <c r="B8" s="8">
        <v>6.35</v>
      </c>
      <c r="C8" s="8">
        <v>5.7</v>
      </c>
      <c r="D8" s="8">
        <v>6.0949999999999998</v>
      </c>
    </row>
    <row r="9" spans="1:4" x14ac:dyDescent="0.35">
      <c r="A9">
        <v>2018</v>
      </c>
      <c r="B9" s="8">
        <v>6.43</v>
      </c>
      <c r="C9" s="8">
        <v>5.9</v>
      </c>
      <c r="D9" s="8">
        <v>6.18</v>
      </c>
    </row>
    <row r="10" spans="1:4" x14ac:dyDescent="0.35">
      <c r="A10">
        <v>2019</v>
      </c>
      <c r="B10" s="8">
        <v>6.54</v>
      </c>
      <c r="C10" s="8">
        <v>5.85</v>
      </c>
      <c r="D10" s="8">
        <v>6.19</v>
      </c>
    </row>
    <row r="11" spans="1:4" x14ac:dyDescent="0.35">
      <c r="A11">
        <v>2020</v>
      </c>
      <c r="B11" s="8">
        <v>6.6</v>
      </c>
      <c r="C11" s="8">
        <v>5.77</v>
      </c>
      <c r="D11" s="8">
        <v>6.03</v>
      </c>
    </row>
    <row r="12" spans="1:4" x14ac:dyDescent="0.35">
      <c r="A12">
        <v>2021</v>
      </c>
      <c r="B12" s="8">
        <v>6.54</v>
      </c>
      <c r="C12" s="8">
        <v>5.21</v>
      </c>
      <c r="D12" s="8">
        <v>6.0125000000000002</v>
      </c>
    </row>
    <row r="13" spans="1:4" x14ac:dyDescent="0.35">
      <c r="A13">
        <v>2022</v>
      </c>
      <c r="B13" s="8">
        <v>7.11</v>
      </c>
      <c r="C13" s="8">
        <v>5.19</v>
      </c>
      <c r="D13" s="8">
        <v>6.4074999999999998</v>
      </c>
    </row>
    <row r="14" spans="1:4" x14ac:dyDescent="0.35">
      <c r="A14">
        <v>2023</v>
      </c>
      <c r="B14" s="8">
        <v>7.7</v>
      </c>
      <c r="C14" s="8">
        <v>5.63</v>
      </c>
      <c r="D14" s="8">
        <v>6.9275000000000002</v>
      </c>
    </row>
    <row r="15" spans="1:4" x14ac:dyDescent="0.35">
      <c r="A15">
        <v>2024</v>
      </c>
      <c r="B15" s="8">
        <v>8.49</v>
      </c>
      <c r="C15" s="8">
        <v>5.89</v>
      </c>
      <c r="D15" s="8">
        <v>8.1999999999999993</v>
      </c>
    </row>
    <row r="16" spans="1:4" x14ac:dyDescent="0.35">
      <c r="A16">
        <v>2025</v>
      </c>
      <c r="B16" s="8">
        <v>10.46</v>
      </c>
      <c r="C16" s="8">
        <v>7.96</v>
      </c>
      <c r="D16" s="8">
        <v>9.3450000000000006</v>
      </c>
    </row>
    <row r="17" spans="1:4" x14ac:dyDescent="0.35">
      <c r="A17">
        <v>2026</v>
      </c>
      <c r="B17" s="8">
        <v>10.46</v>
      </c>
      <c r="C17" s="8">
        <v>8.5</v>
      </c>
      <c r="D17" s="8">
        <v>9.48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2E20B-2141-431A-986B-C0A162CC8C8D}">
  <dimension ref="A1:K119"/>
  <sheetViews>
    <sheetView zoomScale="115" zoomScaleNormal="115" workbookViewId="0">
      <selection activeCell="E2" sqref="E2:G2"/>
    </sheetView>
  </sheetViews>
  <sheetFormatPr defaultRowHeight="14.5" x14ac:dyDescent="0.35"/>
  <cols>
    <col min="4" max="4" width="0" hidden="1" customWidth="1"/>
    <col min="5" max="6" width="17.81640625" bestFit="1" customWidth="1"/>
    <col min="7" max="7" width="17.26953125" bestFit="1" customWidth="1"/>
    <col min="8" max="8" width="22" hidden="1" customWidth="1"/>
    <col min="9" max="10" width="17.81640625" hidden="1" customWidth="1"/>
    <col min="11" max="11" width="17.26953125" hidden="1" customWidth="1"/>
  </cols>
  <sheetData>
    <row r="1" spans="1:11" x14ac:dyDescent="0.35">
      <c r="A1" t="s">
        <v>2</v>
      </c>
      <c r="B1" t="s">
        <v>20</v>
      </c>
      <c r="C1" t="s">
        <v>1</v>
      </c>
      <c r="D1" t="s">
        <v>0</v>
      </c>
      <c r="E1" t="s">
        <v>6</v>
      </c>
      <c r="F1" t="s">
        <v>4</v>
      </c>
      <c r="G1" t="s">
        <v>7</v>
      </c>
      <c r="H1" t="s">
        <v>5</v>
      </c>
      <c r="I1" t="s">
        <v>17</v>
      </c>
      <c r="J1" t="s">
        <v>18</v>
      </c>
      <c r="K1" t="s">
        <v>19</v>
      </c>
    </row>
    <row r="2" spans="1:11" x14ac:dyDescent="0.35">
      <c r="A2">
        <v>43</v>
      </c>
      <c r="B2" s="4">
        <v>1</v>
      </c>
      <c r="C2">
        <v>2026</v>
      </c>
      <c r="D2" t="s">
        <v>3</v>
      </c>
      <c r="E2" s="1">
        <f>2721*365</f>
        <v>993165</v>
      </c>
      <c r="F2" s="2">
        <v>7.73</v>
      </c>
      <c r="G2" s="1">
        <v>19797</v>
      </c>
      <c r="H2" s="2">
        <v>2.17</v>
      </c>
      <c r="I2" s="2">
        <f>17.56*365</f>
        <v>6409.4</v>
      </c>
      <c r="J2" s="2">
        <v>1.1499999999999999</v>
      </c>
      <c r="K2" s="1">
        <v>7433</v>
      </c>
    </row>
    <row r="3" spans="1:11" x14ac:dyDescent="0.35">
      <c r="A3">
        <v>42</v>
      </c>
      <c r="B3" s="4">
        <v>11</v>
      </c>
      <c r="C3" s="4">
        <v>2025</v>
      </c>
      <c r="D3" t="s">
        <v>3</v>
      </c>
      <c r="E3" s="1">
        <f>2721*365</f>
        <v>993165</v>
      </c>
      <c r="F3" s="2">
        <v>6.82</v>
      </c>
      <c r="G3" s="1">
        <v>17122</v>
      </c>
      <c r="H3" s="2">
        <v>2.17</v>
      </c>
      <c r="I3" s="2">
        <f>19.19*365</f>
        <v>7004.35</v>
      </c>
      <c r="J3" s="2">
        <v>1.25</v>
      </c>
      <c r="K3" s="1">
        <v>8124</v>
      </c>
    </row>
    <row r="4" spans="1:11" x14ac:dyDescent="0.35">
      <c r="A4">
        <v>41</v>
      </c>
      <c r="B4" s="4">
        <v>6</v>
      </c>
      <c r="C4" s="4">
        <v>2025</v>
      </c>
      <c r="D4" t="s">
        <v>3</v>
      </c>
      <c r="E4" s="1">
        <f>2592*365</f>
        <v>946080</v>
      </c>
      <c r="F4" s="2">
        <v>6.49</v>
      </c>
      <c r="G4" s="1">
        <v>16307</v>
      </c>
      <c r="H4" s="2">
        <v>2.17</v>
      </c>
      <c r="I4" s="2">
        <f>19.19*365</f>
        <v>7004.35</v>
      </c>
      <c r="J4" s="2">
        <v>1.25</v>
      </c>
      <c r="K4" s="1">
        <v>8124</v>
      </c>
    </row>
    <row r="5" spans="1:11" x14ac:dyDescent="0.35">
      <c r="A5">
        <v>40</v>
      </c>
      <c r="B5" s="4">
        <v>3</v>
      </c>
      <c r="C5">
        <v>2025</v>
      </c>
      <c r="D5" t="s">
        <v>3</v>
      </c>
      <c r="E5" s="1">
        <f>900931</f>
        <v>900931</v>
      </c>
      <c r="F5" s="2">
        <v>6.18</v>
      </c>
      <c r="G5" s="1">
        <v>15130</v>
      </c>
      <c r="H5" s="2">
        <v>2.17</v>
      </c>
      <c r="I5" s="2">
        <v>7005</v>
      </c>
      <c r="J5" s="2">
        <v>1.25</v>
      </c>
      <c r="K5" s="1">
        <v>8124</v>
      </c>
    </row>
    <row r="6" spans="1:11" x14ac:dyDescent="0.35">
      <c r="A6">
        <v>39</v>
      </c>
      <c r="B6" s="4">
        <v>1</v>
      </c>
      <c r="C6">
        <v>2025</v>
      </c>
      <c r="D6" t="s">
        <v>3</v>
      </c>
      <c r="E6" s="1">
        <f>900931</f>
        <v>900931</v>
      </c>
      <c r="F6" s="2">
        <v>6.18</v>
      </c>
      <c r="G6" s="1">
        <v>15530</v>
      </c>
      <c r="H6" s="2">
        <v>2.17</v>
      </c>
      <c r="I6" s="2">
        <v>6409</v>
      </c>
      <c r="J6" s="2">
        <v>1.1499999999999999</v>
      </c>
      <c r="K6" s="1">
        <v>7433</v>
      </c>
    </row>
    <row r="7" spans="1:11" x14ac:dyDescent="0.35">
      <c r="A7">
        <v>38</v>
      </c>
      <c r="B7" s="4">
        <v>11</v>
      </c>
      <c r="C7">
        <v>2024</v>
      </c>
      <c r="D7" t="s">
        <v>3</v>
      </c>
      <c r="E7" s="1">
        <v>900931</v>
      </c>
      <c r="F7" s="2">
        <v>6.18</v>
      </c>
      <c r="G7" s="1">
        <v>15530</v>
      </c>
      <c r="H7" s="2">
        <v>2.17</v>
      </c>
      <c r="I7" s="2">
        <v>5573</v>
      </c>
      <c r="J7" s="2">
        <v>1</v>
      </c>
      <c r="K7" s="1">
        <v>6463</v>
      </c>
    </row>
    <row r="8" spans="1:11" x14ac:dyDescent="0.35">
      <c r="A8">
        <v>37</v>
      </c>
      <c r="B8" s="4">
        <v>6</v>
      </c>
      <c r="C8">
        <v>2024</v>
      </c>
      <c r="D8" t="s">
        <v>3</v>
      </c>
      <c r="E8" s="1">
        <v>834195</v>
      </c>
      <c r="F8" s="2">
        <v>6.49</v>
      </c>
      <c r="G8" s="1">
        <v>14380</v>
      </c>
      <c r="H8" s="2">
        <v>2.17</v>
      </c>
      <c r="I8" s="2">
        <v>5573</v>
      </c>
      <c r="J8" s="2">
        <v>1</v>
      </c>
      <c r="K8" s="1">
        <v>6463</v>
      </c>
    </row>
    <row r="9" spans="1:11" x14ac:dyDescent="0.35">
      <c r="A9">
        <v>36</v>
      </c>
      <c r="B9" s="4">
        <v>1</v>
      </c>
      <c r="C9">
        <v>2024</v>
      </c>
      <c r="D9" t="s">
        <v>3</v>
      </c>
      <c r="E9" s="1">
        <v>809898</v>
      </c>
      <c r="F9" s="2">
        <v>5.56</v>
      </c>
      <c r="G9" s="1">
        <v>13961</v>
      </c>
      <c r="H9" s="2">
        <v>2.17</v>
      </c>
      <c r="I9" s="2">
        <v>5573</v>
      </c>
      <c r="J9" s="2">
        <v>1</v>
      </c>
      <c r="K9" s="1">
        <v>6463</v>
      </c>
    </row>
    <row r="10" spans="1:11" x14ac:dyDescent="0.35">
      <c r="A10">
        <v>35</v>
      </c>
      <c r="B10" s="4">
        <v>11</v>
      </c>
      <c r="C10">
        <v>2023</v>
      </c>
      <c r="D10" t="s">
        <v>3</v>
      </c>
      <c r="E10" s="1">
        <v>814765</v>
      </c>
      <c r="F10" s="2">
        <v>6.43</v>
      </c>
      <c r="G10" s="1">
        <v>19606</v>
      </c>
      <c r="H10" s="2">
        <v>2.17</v>
      </c>
      <c r="I10" s="2"/>
      <c r="J10" s="2"/>
      <c r="K10" s="1"/>
    </row>
    <row r="11" spans="1:11" x14ac:dyDescent="0.35">
      <c r="A11">
        <v>34</v>
      </c>
      <c r="B11" s="4">
        <v>3</v>
      </c>
      <c r="C11">
        <v>2023</v>
      </c>
      <c r="D11" t="s">
        <v>3</v>
      </c>
      <c r="E11" s="1">
        <v>742045</v>
      </c>
      <c r="F11" s="2">
        <v>5.86</v>
      </c>
      <c r="G11" s="1">
        <v>17856</v>
      </c>
      <c r="H11" s="2">
        <v>1.98</v>
      </c>
      <c r="I11" s="2"/>
      <c r="J11" s="2"/>
      <c r="K11" s="1"/>
    </row>
    <row r="12" spans="1:11" x14ac:dyDescent="0.35">
      <c r="A12">
        <v>33</v>
      </c>
      <c r="B12" s="4">
        <v>1</v>
      </c>
      <c r="C12">
        <v>2023</v>
      </c>
      <c r="D12" t="s">
        <v>3</v>
      </c>
      <c r="E12" s="1">
        <v>742045</v>
      </c>
      <c r="F12" s="2">
        <v>5.86</v>
      </c>
      <c r="G12" s="1">
        <v>17856</v>
      </c>
      <c r="H12" s="2">
        <v>1.98</v>
      </c>
      <c r="I12" s="2"/>
      <c r="J12" s="2"/>
      <c r="K12" s="1"/>
    </row>
    <row r="13" spans="1:11" x14ac:dyDescent="0.35">
      <c r="A13">
        <v>32</v>
      </c>
      <c r="B13" s="4">
        <v>10</v>
      </c>
      <c r="C13">
        <v>2022</v>
      </c>
      <c r="D13" t="s">
        <v>3</v>
      </c>
      <c r="E13" s="1">
        <v>730359</v>
      </c>
      <c r="F13" s="2">
        <v>5.76</v>
      </c>
      <c r="G13" s="1">
        <v>17575</v>
      </c>
      <c r="H13" s="2">
        <v>1.98</v>
      </c>
      <c r="I13" s="2"/>
      <c r="J13" s="2"/>
      <c r="K13" s="1"/>
    </row>
    <row r="14" spans="1:11" x14ac:dyDescent="0.35">
      <c r="A14">
        <v>31</v>
      </c>
      <c r="B14" s="4">
        <v>3</v>
      </c>
      <c r="C14">
        <v>2022</v>
      </c>
      <c r="D14" t="s">
        <v>3</v>
      </c>
      <c r="E14" s="1">
        <v>685783</v>
      </c>
      <c r="F14" s="2">
        <v>5.41</v>
      </c>
      <c r="G14" s="1">
        <v>16502</v>
      </c>
      <c r="H14" s="2">
        <v>1.86</v>
      </c>
      <c r="I14" s="2"/>
      <c r="J14" s="2"/>
      <c r="K14" s="1"/>
    </row>
    <row r="15" spans="1:11" x14ac:dyDescent="0.35">
      <c r="A15">
        <v>30</v>
      </c>
      <c r="B15" s="4">
        <v>1</v>
      </c>
      <c r="C15">
        <v>2022</v>
      </c>
      <c r="D15" t="s">
        <v>3</v>
      </c>
      <c r="E15" s="1">
        <v>685783</v>
      </c>
      <c r="F15" s="2">
        <v>5.41</v>
      </c>
      <c r="G15" s="1">
        <v>16502</v>
      </c>
      <c r="H15" s="2">
        <v>0.23</v>
      </c>
      <c r="I15" s="2"/>
      <c r="J15" s="2"/>
      <c r="K15" s="1"/>
    </row>
    <row r="16" spans="1:11" x14ac:dyDescent="0.35">
      <c r="A16">
        <v>29</v>
      </c>
      <c r="B16" s="4">
        <v>6</v>
      </c>
      <c r="C16">
        <v>2021</v>
      </c>
      <c r="D16" t="s">
        <v>3</v>
      </c>
      <c r="E16" s="1">
        <v>648188</v>
      </c>
      <c r="F16" s="2">
        <v>5.12</v>
      </c>
      <c r="G16" s="1">
        <v>15597</v>
      </c>
      <c r="H16" s="2">
        <v>0.22</v>
      </c>
      <c r="I16" s="2"/>
      <c r="J16" s="2"/>
      <c r="K16" s="1"/>
    </row>
    <row r="17" spans="1:11" x14ac:dyDescent="0.35">
      <c r="A17">
        <v>28</v>
      </c>
      <c r="B17" s="4">
        <v>1</v>
      </c>
      <c r="C17">
        <v>2021</v>
      </c>
      <c r="D17" t="s">
        <v>3</v>
      </c>
      <c r="E17" s="1">
        <v>494974</v>
      </c>
      <c r="F17" s="2">
        <v>6.58</v>
      </c>
      <c r="G17" s="1">
        <v>11538</v>
      </c>
      <c r="H17" s="2">
        <v>0.22</v>
      </c>
      <c r="I17" s="2"/>
      <c r="J17" s="2"/>
      <c r="K17" s="1"/>
    </row>
    <row r="18" spans="1:11" x14ac:dyDescent="0.35">
      <c r="A18">
        <v>27</v>
      </c>
      <c r="B18" s="4">
        <v>8</v>
      </c>
      <c r="C18">
        <v>2020</v>
      </c>
      <c r="D18" t="s">
        <v>3</v>
      </c>
      <c r="E18" s="1">
        <v>494974</v>
      </c>
      <c r="F18" s="2">
        <v>6.24</v>
      </c>
      <c r="G18" s="1">
        <v>11538</v>
      </c>
      <c r="H18" s="2">
        <v>0.22</v>
      </c>
      <c r="I18" s="2"/>
      <c r="J18" s="2"/>
      <c r="K18" s="1"/>
    </row>
    <row r="19" spans="1:11" x14ac:dyDescent="0.35">
      <c r="A19" s="3" t="s">
        <v>8</v>
      </c>
      <c r="B19" s="5">
        <v>4</v>
      </c>
      <c r="C19">
        <v>2020</v>
      </c>
      <c r="D19" t="s">
        <v>3</v>
      </c>
      <c r="E19" s="1">
        <v>494974</v>
      </c>
      <c r="F19" s="2">
        <v>6.24</v>
      </c>
      <c r="G19" s="1">
        <v>11538</v>
      </c>
      <c r="H19" s="2">
        <v>0.22</v>
      </c>
      <c r="I19" s="2"/>
      <c r="J19" s="2"/>
      <c r="K19" s="1"/>
    </row>
    <row r="20" spans="1:11" x14ac:dyDescent="0.35">
      <c r="A20" s="3">
        <v>26</v>
      </c>
      <c r="B20" s="5">
        <v>1</v>
      </c>
      <c r="C20">
        <v>2020</v>
      </c>
      <c r="D20" t="s">
        <v>3</v>
      </c>
      <c r="E20" s="1">
        <v>494974</v>
      </c>
      <c r="F20" s="2">
        <v>6.24</v>
      </c>
      <c r="G20" s="1">
        <v>11538</v>
      </c>
      <c r="H20" s="2">
        <v>0.22</v>
      </c>
      <c r="I20" s="2"/>
      <c r="J20" s="2"/>
      <c r="K20" s="1"/>
    </row>
    <row r="21" spans="1:11" x14ac:dyDescent="0.35">
      <c r="A21" s="3" t="s">
        <v>9</v>
      </c>
      <c r="B21" s="5">
        <v>4</v>
      </c>
      <c r="C21">
        <v>2019</v>
      </c>
      <c r="D21" t="s">
        <v>3</v>
      </c>
      <c r="E21" s="1">
        <v>482901</v>
      </c>
      <c r="F21" s="2">
        <v>6.08</v>
      </c>
      <c r="G21" s="1">
        <v>11256</v>
      </c>
      <c r="H21" s="2">
        <v>0.22</v>
      </c>
      <c r="I21" s="2"/>
      <c r="J21" s="2"/>
      <c r="K21" s="1"/>
    </row>
    <row r="22" spans="1:11" x14ac:dyDescent="0.35">
      <c r="A22" s="3">
        <v>25</v>
      </c>
      <c r="B22" s="5">
        <v>1</v>
      </c>
      <c r="C22">
        <v>2019</v>
      </c>
      <c r="D22" t="s">
        <v>3</v>
      </c>
      <c r="E22" s="1">
        <v>482901</v>
      </c>
      <c r="F22" s="2">
        <v>6.08</v>
      </c>
      <c r="G22" s="1">
        <v>11256</v>
      </c>
      <c r="H22" s="2">
        <v>0.22</v>
      </c>
      <c r="I22" s="2"/>
      <c r="J22" s="2"/>
      <c r="K22" s="1"/>
    </row>
    <row r="23" spans="1:11" x14ac:dyDescent="0.35">
      <c r="A23">
        <v>24</v>
      </c>
      <c r="B23" s="5">
        <v>8</v>
      </c>
      <c r="C23">
        <v>2018</v>
      </c>
      <c r="D23" t="s">
        <v>3</v>
      </c>
      <c r="E23" s="1">
        <v>470664</v>
      </c>
      <c r="F23" s="2">
        <v>5.93</v>
      </c>
      <c r="G23" s="1">
        <v>10971</v>
      </c>
      <c r="H23" s="2">
        <v>0.21</v>
      </c>
      <c r="I23" s="2"/>
      <c r="J23" s="2"/>
      <c r="K23" s="1"/>
    </row>
    <row r="24" spans="1:11" x14ac:dyDescent="0.35">
      <c r="A24" s="3" t="s">
        <v>10</v>
      </c>
      <c r="B24" s="5">
        <v>4</v>
      </c>
      <c r="C24">
        <v>2018</v>
      </c>
      <c r="D24" t="s">
        <v>3</v>
      </c>
      <c r="E24" s="1">
        <v>470664</v>
      </c>
      <c r="F24" s="2">
        <v>5.93</v>
      </c>
      <c r="G24" s="1">
        <v>10971</v>
      </c>
      <c r="H24" s="2">
        <v>0.21</v>
      </c>
      <c r="I24" s="2"/>
      <c r="J24" s="2"/>
      <c r="K24" s="1"/>
    </row>
    <row r="25" spans="1:11" x14ac:dyDescent="0.35">
      <c r="A25">
        <v>23</v>
      </c>
      <c r="B25" s="5">
        <v>1</v>
      </c>
      <c r="C25">
        <v>2018</v>
      </c>
      <c r="D25" t="s">
        <v>3</v>
      </c>
      <c r="E25" s="1">
        <v>470664</v>
      </c>
      <c r="F25" s="2">
        <v>5.93</v>
      </c>
      <c r="G25" s="1">
        <v>10971</v>
      </c>
      <c r="H25" s="2">
        <v>0.21</v>
      </c>
      <c r="I25" s="2"/>
      <c r="J25" s="2"/>
      <c r="K25" s="1"/>
    </row>
    <row r="26" spans="1:11" x14ac:dyDescent="0.35">
      <c r="A26" s="3" t="s">
        <v>11</v>
      </c>
      <c r="B26" s="5">
        <v>10</v>
      </c>
      <c r="C26">
        <v>2017</v>
      </c>
      <c r="D26" t="s">
        <v>3</v>
      </c>
      <c r="E26" s="1">
        <v>470664</v>
      </c>
      <c r="F26" s="2">
        <v>5.32</v>
      </c>
      <c r="G26" s="1">
        <v>10971</v>
      </c>
      <c r="H26" s="2">
        <v>0.21</v>
      </c>
      <c r="I26" s="2"/>
      <c r="J26" s="2"/>
      <c r="K26" s="1"/>
    </row>
    <row r="27" spans="1:11" x14ac:dyDescent="0.35">
      <c r="A27" s="3" t="s">
        <v>12</v>
      </c>
      <c r="B27" s="5">
        <v>4</v>
      </c>
      <c r="C27">
        <v>2017</v>
      </c>
      <c r="D27" t="s">
        <v>3</v>
      </c>
      <c r="E27" s="1">
        <v>470664</v>
      </c>
      <c r="F27" s="2">
        <v>5.32</v>
      </c>
      <c r="G27" s="1">
        <v>10971</v>
      </c>
      <c r="H27" s="2">
        <v>0.21</v>
      </c>
      <c r="I27" s="2"/>
      <c r="J27" s="2"/>
      <c r="K27" s="1"/>
    </row>
    <row r="28" spans="1:11" x14ac:dyDescent="0.35">
      <c r="A28" s="3">
        <v>22</v>
      </c>
      <c r="B28" s="5">
        <v>1</v>
      </c>
      <c r="C28">
        <v>2017</v>
      </c>
      <c r="D28" t="s">
        <v>3</v>
      </c>
      <c r="E28" s="1">
        <v>470664</v>
      </c>
      <c r="F28" s="2">
        <v>5.32</v>
      </c>
      <c r="G28" s="1">
        <v>10971</v>
      </c>
      <c r="H28" s="2">
        <v>0.21</v>
      </c>
      <c r="I28" s="2"/>
      <c r="J28" s="2"/>
      <c r="K28" s="1"/>
    </row>
    <row r="29" spans="1:11" x14ac:dyDescent="0.35">
      <c r="A29" s="3" t="s">
        <v>13</v>
      </c>
      <c r="B29" s="5">
        <v>9</v>
      </c>
      <c r="C29">
        <v>2016</v>
      </c>
      <c r="D29" t="s">
        <v>3</v>
      </c>
      <c r="E29" s="1">
        <v>470664</v>
      </c>
      <c r="F29" s="2">
        <v>4.7</v>
      </c>
      <c r="G29" s="1">
        <v>10971</v>
      </c>
      <c r="H29" s="2">
        <v>0.21</v>
      </c>
      <c r="I29" s="2"/>
      <c r="J29" s="2"/>
      <c r="K29" s="1"/>
    </row>
    <row r="30" spans="1:11" x14ac:dyDescent="0.35">
      <c r="A30" s="3" t="s">
        <v>14</v>
      </c>
      <c r="B30" s="5">
        <v>4</v>
      </c>
      <c r="C30">
        <v>2016</v>
      </c>
      <c r="D30" t="s">
        <v>3</v>
      </c>
      <c r="E30" s="1">
        <v>470664</v>
      </c>
      <c r="F30" s="2">
        <v>4.7</v>
      </c>
      <c r="G30" s="1">
        <v>10971.05</v>
      </c>
      <c r="H30" s="2">
        <v>0.21</v>
      </c>
      <c r="I30" s="2"/>
      <c r="J30" s="2"/>
      <c r="K30" s="1"/>
    </row>
    <row r="31" spans="1:11" x14ac:dyDescent="0.35">
      <c r="A31">
        <v>21</v>
      </c>
      <c r="B31" s="5">
        <v>1</v>
      </c>
      <c r="C31">
        <v>2016</v>
      </c>
      <c r="D31" t="s">
        <v>3</v>
      </c>
      <c r="E31" s="1">
        <v>470664</v>
      </c>
      <c r="F31" s="2">
        <v>4.7</v>
      </c>
      <c r="G31" s="1">
        <v>10971.05</v>
      </c>
      <c r="H31" s="2">
        <v>0.21</v>
      </c>
      <c r="I31" s="2"/>
      <c r="J31" s="2"/>
      <c r="K31" s="1"/>
    </row>
    <row r="32" spans="1:11" x14ac:dyDescent="0.35">
      <c r="A32" s="3" t="s">
        <v>15</v>
      </c>
      <c r="B32" s="5">
        <v>4</v>
      </c>
      <c r="C32">
        <v>2015</v>
      </c>
      <c r="D32" t="s">
        <v>3</v>
      </c>
      <c r="E32" s="1">
        <v>470664</v>
      </c>
      <c r="F32" s="2">
        <v>4</v>
      </c>
      <c r="G32" s="1">
        <v>10971.05</v>
      </c>
      <c r="H32" s="2">
        <v>0.21</v>
      </c>
      <c r="I32" s="2"/>
      <c r="J32" s="2"/>
      <c r="K32" s="1"/>
    </row>
    <row r="33" spans="1:11" x14ac:dyDescent="0.35">
      <c r="A33">
        <v>20</v>
      </c>
      <c r="B33" s="5">
        <v>1</v>
      </c>
      <c r="C33">
        <v>2015</v>
      </c>
      <c r="D33" t="s">
        <v>3</v>
      </c>
      <c r="E33" s="1">
        <v>470664</v>
      </c>
      <c r="F33" s="2">
        <v>4</v>
      </c>
      <c r="G33" s="1">
        <v>10971.05</v>
      </c>
      <c r="H33" s="2">
        <v>0.21</v>
      </c>
      <c r="I33" s="2"/>
      <c r="J33" s="2"/>
      <c r="K33" s="1"/>
    </row>
    <row r="34" spans="1:11" x14ac:dyDescent="0.35">
      <c r="A34" s="3" t="s">
        <v>16</v>
      </c>
      <c r="B34" s="5">
        <v>4</v>
      </c>
      <c r="C34">
        <v>2014</v>
      </c>
      <c r="D34" t="s">
        <v>3</v>
      </c>
      <c r="E34" s="1">
        <v>470664</v>
      </c>
      <c r="F34" s="2">
        <v>3.72</v>
      </c>
      <c r="G34" s="1">
        <v>10971.05</v>
      </c>
      <c r="H34" s="2">
        <v>0.21</v>
      </c>
      <c r="I34" s="2"/>
      <c r="J34" s="2"/>
      <c r="K34" s="1"/>
    </row>
    <row r="35" spans="1:11" x14ac:dyDescent="0.35">
      <c r="A35">
        <v>19</v>
      </c>
      <c r="B35" s="5">
        <v>1</v>
      </c>
      <c r="C35">
        <v>2014</v>
      </c>
      <c r="D35" t="s">
        <v>3</v>
      </c>
      <c r="E35" s="1">
        <v>470664</v>
      </c>
      <c r="F35" s="2">
        <v>3.72</v>
      </c>
      <c r="G35" s="1">
        <v>10971</v>
      </c>
      <c r="H35" s="2">
        <v>0.21</v>
      </c>
      <c r="I35" s="2"/>
      <c r="J35" s="2"/>
      <c r="K35" s="1"/>
    </row>
    <row r="36" spans="1:11" x14ac:dyDescent="0.35">
      <c r="A36">
        <v>18</v>
      </c>
      <c r="B36" s="5">
        <v>1</v>
      </c>
      <c r="C36">
        <v>2013</v>
      </c>
      <c r="D36" t="s">
        <v>3</v>
      </c>
      <c r="E36" s="1">
        <v>450396</v>
      </c>
      <c r="F36" s="2">
        <v>3.01</v>
      </c>
      <c r="G36" s="1">
        <v>10498</v>
      </c>
      <c r="H36" s="2">
        <v>0.2</v>
      </c>
      <c r="I36" s="2"/>
      <c r="J36" s="2"/>
      <c r="K36" s="1"/>
    </row>
    <row r="37" spans="1:11" x14ac:dyDescent="0.35">
      <c r="A37">
        <v>17</v>
      </c>
      <c r="B37" s="5">
        <v>1</v>
      </c>
      <c r="C37">
        <v>2012</v>
      </c>
      <c r="D37" t="s">
        <v>3</v>
      </c>
      <c r="E37" s="1">
        <v>417033</v>
      </c>
      <c r="F37" s="2">
        <v>2.75</v>
      </c>
      <c r="G37" s="1">
        <v>9720</v>
      </c>
      <c r="H37" s="2">
        <v>0.186</v>
      </c>
      <c r="I37" s="2"/>
      <c r="J37" s="2"/>
      <c r="K37" s="1"/>
    </row>
    <row r="38" spans="1:11" x14ac:dyDescent="0.35">
      <c r="A38">
        <v>16</v>
      </c>
      <c r="B38" s="5">
        <v>1</v>
      </c>
      <c r="C38">
        <v>2011</v>
      </c>
      <c r="D38" t="s">
        <v>3</v>
      </c>
      <c r="E38" s="1">
        <v>352671</v>
      </c>
      <c r="F38" s="2">
        <v>2.61</v>
      </c>
      <c r="G38" s="1">
        <v>9322</v>
      </c>
      <c r="H38" s="2">
        <v>0.17</v>
      </c>
      <c r="I38" s="2"/>
      <c r="J38" s="2"/>
      <c r="K38" s="1"/>
    </row>
    <row r="39" spans="1:11" x14ac:dyDescent="0.35">
      <c r="A39">
        <v>15</v>
      </c>
      <c r="B39" s="5">
        <v>3</v>
      </c>
      <c r="C39">
        <v>2010</v>
      </c>
      <c r="D39" t="s">
        <v>3</v>
      </c>
      <c r="E39" s="1">
        <v>307210</v>
      </c>
      <c r="F39" s="2">
        <v>2.79</v>
      </c>
      <c r="G39" s="1">
        <v>8198</v>
      </c>
      <c r="H39" s="2">
        <v>0.16</v>
      </c>
      <c r="I39" s="2"/>
      <c r="J39" s="2"/>
      <c r="K39" s="1"/>
    </row>
    <row r="40" spans="1:11" x14ac:dyDescent="0.35">
      <c r="A40">
        <v>14</v>
      </c>
      <c r="B40" s="5">
        <v>1</v>
      </c>
      <c r="C40">
        <v>2010</v>
      </c>
      <c r="D40" t="s">
        <v>3</v>
      </c>
      <c r="E40" s="1">
        <v>307210</v>
      </c>
      <c r="F40" s="2">
        <v>2.82</v>
      </c>
      <c r="G40" s="1">
        <v>8198</v>
      </c>
      <c r="H40" s="2">
        <v>0.16</v>
      </c>
      <c r="I40" s="2"/>
      <c r="J40" s="2"/>
      <c r="K40" s="1"/>
    </row>
    <row r="41" spans="1:11" x14ac:dyDescent="0.35">
      <c r="A41">
        <v>13</v>
      </c>
      <c r="B41" s="5">
        <v>8</v>
      </c>
      <c r="C41">
        <v>2009</v>
      </c>
      <c r="D41" t="s">
        <v>3</v>
      </c>
      <c r="E41" s="1">
        <v>222785</v>
      </c>
      <c r="F41" s="2">
        <v>2.58</v>
      </c>
      <c r="G41" s="1">
        <v>7661</v>
      </c>
      <c r="H41" s="2">
        <v>0.14000000000000001</v>
      </c>
      <c r="I41" s="2"/>
      <c r="J41" s="2"/>
      <c r="K41" s="1"/>
    </row>
    <row r="42" spans="1:11" x14ac:dyDescent="0.35">
      <c r="A42">
        <v>12</v>
      </c>
      <c r="B42" s="5">
        <v>1</v>
      </c>
      <c r="C42">
        <v>2009</v>
      </c>
      <c r="D42" t="s">
        <v>3</v>
      </c>
      <c r="E42" s="1">
        <v>212176</v>
      </c>
      <c r="F42" s="2">
        <v>2.44</v>
      </c>
      <c r="G42" s="1">
        <v>7296</v>
      </c>
      <c r="H42" s="2">
        <v>0.14000000000000001</v>
      </c>
      <c r="I42" s="2"/>
      <c r="J42" s="2"/>
      <c r="K42" s="1"/>
    </row>
    <row r="43" spans="1:11" x14ac:dyDescent="0.35">
      <c r="A43">
        <v>11</v>
      </c>
      <c r="B43" s="5">
        <v>12</v>
      </c>
      <c r="C43">
        <v>2008</v>
      </c>
      <c r="D43" t="s">
        <v>3</v>
      </c>
      <c r="E43" s="1">
        <v>184501</v>
      </c>
      <c r="F43" s="2">
        <v>2.0499999999999998</v>
      </c>
      <c r="G43" s="1">
        <v>6344</v>
      </c>
      <c r="H43" s="2">
        <v>0.12</v>
      </c>
      <c r="I43" s="2"/>
      <c r="J43" s="2"/>
      <c r="K43" s="1"/>
    </row>
    <row r="44" spans="1:11" x14ac:dyDescent="0.35">
      <c r="A44">
        <v>10</v>
      </c>
      <c r="B44" s="5">
        <v>8</v>
      </c>
      <c r="C44">
        <v>2008</v>
      </c>
      <c r="D44" t="s">
        <v>3</v>
      </c>
      <c r="E44" s="1">
        <v>184501</v>
      </c>
      <c r="F44" s="2">
        <v>2.0499999999999998</v>
      </c>
      <c r="G44" s="1">
        <v>6344</v>
      </c>
      <c r="H44" s="2">
        <v>0.12</v>
      </c>
      <c r="I44" s="2"/>
      <c r="J44" s="2"/>
      <c r="K44" s="1"/>
    </row>
    <row r="45" spans="1:11" x14ac:dyDescent="0.35">
      <c r="A45">
        <v>9</v>
      </c>
      <c r="B45" s="5">
        <v>3</v>
      </c>
      <c r="C45">
        <v>2008</v>
      </c>
      <c r="D45" t="s">
        <v>3</v>
      </c>
      <c r="E45" s="1">
        <v>174058</v>
      </c>
      <c r="F45" s="2">
        <v>1.92</v>
      </c>
      <c r="G45" s="1">
        <v>5985</v>
      </c>
      <c r="H45" s="2">
        <v>0.11</v>
      </c>
      <c r="I45" s="2"/>
      <c r="J45" s="2"/>
      <c r="K45" s="1"/>
    </row>
    <row r="46" spans="1:11" x14ac:dyDescent="0.35">
      <c r="A46">
        <v>8</v>
      </c>
      <c r="B46" s="5">
        <v>2</v>
      </c>
      <c r="C46">
        <v>2008</v>
      </c>
      <c r="D46" t="s">
        <v>3</v>
      </c>
      <c r="E46" s="1">
        <v>174058</v>
      </c>
      <c r="F46" s="2">
        <v>1.94</v>
      </c>
      <c r="G46" s="1">
        <v>5985</v>
      </c>
      <c r="H46" s="2">
        <v>0.11</v>
      </c>
      <c r="I46" s="2"/>
      <c r="J46" s="2"/>
      <c r="K46" s="1"/>
    </row>
    <row r="47" spans="1:11" x14ac:dyDescent="0.35">
      <c r="A47">
        <v>7</v>
      </c>
      <c r="B47" s="5">
        <v>10</v>
      </c>
      <c r="C47">
        <v>2007</v>
      </c>
      <c r="D47" t="s">
        <v>3</v>
      </c>
      <c r="E47" s="1">
        <v>164206</v>
      </c>
      <c r="F47" s="2">
        <v>1.8</v>
      </c>
      <c r="G47" s="1">
        <v>5646</v>
      </c>
      <c r="H47" s="2">
        <v>0.1</v>
      </c>
      <c r="I47" s="2"/>
      <c r="J47" s="2"/>
      <c r="K47" s="1"/>
    </row>
    <row r="48" spans="1:11" x14ac:dyDescent="0.35">
      <c r="A48">
        <v>6</v>
      </c>
      <c r="B48" s="5">
        <v>4</v>
      </c>
      <c r="C48">
        <v>2007</v>
      </c>
      <c r="D48" t="s">
        <v>3</v>
      </c>
      <c r="E48" s="1">
        <v>159718</v>
      </c>
      <c r="F48" s="2">
        <v>1.75</v>
      </c>
      <c r="G48" s="1">
        <v>5492</v>
      </c>
      <c r="H48" s="2">
        <v>0.1</v>
      </c>
      <c r="I48" s="2"/>
      <c r="J48" s="2"/>
      <c r="K48" s="1"/>
    </row>
    <row r="49" spans="1:11" x14ac:dyDescent="0.35">
      <c r="A49">
        <v>5</v>
      </c>
      <c r="B49" s="5">
        <v>3</v>
      </c>
      <c r="C49">
        <v>2007</v>
      </c>
      <c r="D49" t="s">
        <v>3</v>
      </c>
      <c r="E49" s="1">
        <v>159718</v>
      </c>
      <c r="F49" s="2">
        <v>1.75</v>
      </c>
      <c r="G49" s="1">
        <v>5492</v>
      </c>
      <c r="H49" s="2">
        <v>0.1</v>
      </c>
      <c r="I49" s="2"/>
      <c r="J49" s="2"/>
      <c r="K49" s="1"/>
    </row>
    <row r="50" spans="1:11" x14ac:dyDescent="0.35">
      <c r="A50">
        <v>4</v>
      </c>
      <c r="B50" s="5">
        <v>2</v>
      </c>
      <c r="C50">
        <v>2007</v>
      </c>
      <c r="D50" t="s">
        <v>3</v>
      </c>
      <c r="E50" s="1">
        <v>159718</v>
      </c>
      <c r="F50" s="2">
        <v>1.69</v>
      </c>
      <c r="G50" s="1">
        <v>5492</v>
      </c>
      <c r="H50" s="2">
        <v>0.1</v>
      </c>
      <c r="I50" s="2"/>
      <c r="J50" s="2"/>
      <c r="K50" s="1"/>
    </row>
    <row r="51" spans="1:11" x14ac:dyDescent="0.35">
      <c r="A51">
        <v>3</v>
      </c>
      <c r="B51" s="5">
        <v>6</v>
      </c>
      <c r="C51">
        <v>2006</v>
      </c>
      <c r="D51" t="s">
        <v>3</v>
      </c>
      <c r="E51" s="1">
        <v>147887</v>
      </c>
      <c r="F51" s="2">
        <v>1.52</v>
      </c>
      <c r="G51" s="1">
        <v>5085</v>
      </c>
      <c r="H51" s="2">
        <v>0.09</v>
      </c>
      <c r="I51" s="2"/>
      <c r="J51" s="2"/>
      <c r="K51" s="1"/>
    </row>
    <row r="52" spans="1:11" x14ac:dyDescent="0.35">
      <c r="A52">
        <v>2</v>
      </c>
      <c r="B52" s="5">
        <v>1</v>
      </c>
      <c r="C52">
        <v>2006</v>
      </c>
      <c r="D52" t="s">
        <v>3</v>
      </c>
      <c r="E52" s="1">
        <v>140845</v>
      </c>
      <c r="F52" s="2">
        <v>1.35</v>
      </c>
      <c r="G52" s="1">
        <v>4843</v>
      </c>
      <c r="H52" s="2">
        <v>8.1000000000000003E-2</v>
      </c>
      <c r="I52" s="2"/>
      <c r="J52" s="2"/>
      <c r="K52" s="1"/>
    </row>
    <row r="53" spans="1:11" x14ac:dyDescent="0.35">
      <c r="A53">
        <v>1</v>
      </c>
      <c r="B53" s="5">
        <v>1</v>
      </c>
      <c r="C53">
        <v>2005</v>
      </c>
      <c r="D53" t="s">
        <v>3</v>
      </c>
      <c r="E53" s="1">
        <v>140845</v>
      </c>
      <c r="F53" s="2">
        <v>1.35</v>
      </c>
      <c r="G53" s="1">
        <v>4843</v>
      </c>
      <c r="H53" s="2">
        <v>8.1000000000000003E-2</v>
      </c>
      <c r="I53" s="2"/>
      <c r="J53" s="2"/>
      <c r="K53" s="1"/>
    </row>
    <row r="54" spans="1:11" x14ac:dyDescent="0.35">
      <c r="E54" s="1"/>
      <c r="F54" s="2"/>
      <c r="G54" s="1"/>
      <c r="H54" s="2"/>
      <c r="I54" s="2"/>
      <c r="J54" s="2"/>
      <c r="K54" s="1"/>
    </row>
    <row r="55" spans="1:11" x14ac:dyDescent="0.35">
      <c r="E55" s="1"/>
      <c r="F55" s="2"/>
      <c r="G55" s="1"/>
      <c r="H55" s="2"/>
      <c r="I55" s="2"/>
      <c r="J55" s="2"/>
      <c r="K55" s="1"/>
    </row>
    <row r="56" spans="1:11" x14ac:dyDescent="0.35">
      <c r="E56" s="1"/>
      <c r="F56" s="2"/>
      <c r="G56" s="1"/>
      <c r="H56" s="2"/>
      <c r="I56" s="2"/>
      <c r="J56" s="2"/>
      <c r="K56" s="1"/>
    </row>
    <row r="57" spans="1:11" x14ac:dyDescent="0.35">
      <c r="E57" s="1"/>
      <c r="F57" s="2"/>
      <c r="G57" s="1"/>
      <c r="H57" s="2"/>
      <c r="I57" s="2"/>
      <c r="J57" s="2"/>
      <c r="K57" s="1"/>
    </row>
    <row r="58" spans="1:11" x14ac:dyDescent="0.35">
      <c r="E58" s="1"/>
      <c r="F58" s="2"/>
      <c r="G58" s="1"/>
      <c r="H58" s="2"/>
      <c r="I58" s="2"/>
      <c r="J58" s="2"/>
      <c r="K58" s="1"/>
    </row>
    <row r="59" spans="1:11" x14ac:dyDescent="0.35">
      <c r="E59" s="1"/>
      <c r="F59" s="2"/>
      <c r="G59" s="1"/>
      <c r="H59" s="2"/>
      <c r="I59" s="2"/>
      <c r="J59" s="2"/>
      <c r="K59" s="1"/>
    </row>
    <row r="60" spans="1:11" x14ac:dyDescent="0.35">
      <c r="E60" s="1"/>
      <c r="F60" s="2"/>
      <c r="G60" s="1"/>
      <c r="H60" s="2"/>
      <c r="I60" s="2"/>
      <c r="J60" s="2"/>
      <c r="K60" s="1"/>
    </row>
    <row r="61" spans="1:11" x14ac:dyDescent="0.35">
      <c r="E61" s="1"/>
      <c r="F61" s="2"/>
      <c r="G61" s="1"/>
      <c r="H61" s="2"/>
      <c r="I61" s="2"/>
      <c r="J61" s="2"/>
      <c r="K61" s="1"/>
    </row>
    <row r="62" spans="1:11" x14ac:dyDescent="0.35">
      <c r="E62" s="1"/>
      <c r="F62" s="2"/>
      <c r="G62" s="1"/>
      <c r="H62" s="2"/>
      <c r="I62" s="2"/>
      <c r="J62" s="2"/>
      <c r="K62" s="1"/>
    </row>
    <row r="63" spans="1:11" x14ac:dyDescent="0.35">
      <c r="E63" s="1"/>
      <c r="F63" s="2"/>
      <c r="G63" s="1"/>
      <c r="H63" s="2"/>
      <c r="I63" s="2"/>
      <c r="J63" s="2"/>
      <c r="K63" s="1"/>
    </row>
    <row r="64" spans="1:11" x14ac:dyDescent="0.35">
      <c r="E64" s="1"/>
      <c r="F64" s="2"/>
      <c r="G64" s="1"/>
      <c r="H64" s="2"/>
      <c r="I64" s="2"/>
      <c r="J64" s="2"/>
      <c r="K64" s="1"/>
    </row>
    <row r="65" spans="5:11" x14ac:dyDescent="0.35">
      <c r="E65" s="1"/>
      <c r="F65" s="2"/>
      <c r="G65" s="1"/>
      <c r="H65" s="2"/>
      <c r="I65" s="2"/>
      <c r="J65" s="2"/>
      <c r="K65" s="1"/>
    </row>
    <row r="66" spans="5:11" x14ac:dyDescent="0.35">
      <c r="E66" s="1"/>
      <c r="F66" s="2"/>
      <c r="G66" s="1"/>
      <c r="H66" s="2"/>
      <c r="I66" s="2"/>
      <c r="J66" s="2"/>
      <c r="K66" s="1"/>
    </row>
    <row r="67" spans="5:11" x14ac:dyDescent="0.35">
      <c r="E67" s="1"/>
      <c r="F67" s="2"/>
      <c r="G67" s="1"/>
      <c r="H67" s="2"/>
      <c r="I67" s="2"/>
      <c r="J67" s="2"/>
      <c r="K67" s="1"/>
    </row>
    <row r="68" spans="5:11" x14ac:dyDescent="0.35">
      <c r="E68" s="1"/>
      <c r="F68" s="2"/>
      <c r="G68" s="1"/>
      <c r="H68" s="2"/>
      <c r="I68" s="2"/>
      <c r="J68" s="2"/>
      <c r="K68" s="1"/>
    </row>
    <row r="69" spans="5:11" x14ac:dyDescent="0.35">
      <c r="E69" s="1"/>
      <c r="F69" s="2"/>
      <c r="G69" s="1"/>
      <c r="H69" s="2"/>
      <c r="I69" s="2"/>
      <c r="J69" s="2"/>
      <c r="K69" s="1"/>
    </row>
    <row r="70" spans="5:11" x14ac:dyDescent="0.35">
      <c r="E70" s="1"/>
      <c r="F70" s="2"/>
      <c r="G70" s="1"/>
      <c r="H70" s="2"/>
      <c r="I70" s="2"/>
      <c r="J70" s="2"/>
      <c r="K70" s="1"/>
    </row>
    <row r="71" spans="5:11" x14ac:dyDescent="0.35">
      <c r="E71" s="1"/>
      <c r="F71" s="2"/>
      <c r="G71" s="1"/>
      <c r="H71" s="2"/>
      <c r="I71" s="2"/>
      <c r="J71" s="2"/>
      <c r="K71" s="1"/>
    </row>
    <row r="72" spans="5:11" x14ac:dyDescent="0.35">
      <c r="E72" s="1"/>
      <c r="F72" s="2"/>
      <c r="G72" s="1"/>
      <c r="H72" s="2"/>
      <c r="I72" s="2"/>
      <c r="J72" s="2"/>
      <c r="K72" s="1"/>
    </row>
    <row r="73" spans="5:11" x14ac:dyDescent="0.35">
      <c r="E73" s="1"/>
      <c r="F73" s="2"/>
      <c r="G73" s="1"/>
      <c r="H73" s="2"/>
      <c r="I73" s="2"/>
      <c r="J73" s="2"/>
      <c r="K73" s="1"/>
    </row>
    <row r="74" spans="5:11" x14ac:dyDescent="0.35">
      <c r="E74" s="1"/>
      <c r="F74" s="2"/>
      <c r="G74" s="1"/>
      <c r="H74" s="2"/>
      <c r="I74" s="2"/>
      <c r="J74" s="2"/>
      <c r="K74" s="1"/>
    </row>
    <row r="75" spans="5:11" x14ac:dyDescent="0.35">
      <c r="E75" s="1"/>
      <c r="F75" s="2"/>
      <c r="G75" s="1"/>
      <c r="H75" s="2"/>
      <c r="I75" s="2"/>
      <c r="J75" s="2"/>
      <c r="K75" s="1"/>
    </row>
    <row r="76" spans="5:11" x14ac:dyDescent="0.35">
      <c r="E76" s="1"/>
      <c r="F76" s="2"/>
      <c r="G76" s="1"/>
      <c r="H76" s="2"/>
      <c r="I76" s="2"/>
      <c r="J76" s="2"/>
      <c r="K76" s="1"/>
    </row>
    <row r="77" spans="5:11" x14ac:dyDescent="0.35">
      <c r="E77" s="1"/>
      <c r="F77" s="2"/>
      <c r="G77" s="1"/>
      <c r="H77" s="2"/>
      <c r="I77" s="2"/>
      <c r="J77" s="2"/>
      <c r="K77" s="1"/>
    </row>
    <row r="78" spans="5:11" x14ac:dyDescent="0.35">
      <c r="E78" s="1"/>
      <c r="F78" s="2"/>
      <c r="G78" s="1"/>
      <c r="H78" s="2"/>
      <c r="I78" s="2"/>
      <c r="J78" s="2"/>
      <c r="K78" s="1"/>
    </row>
    <row r="79" spans="5:11" x14ac:dyDescent="0.35">
      <c r="E79" s="1"/>
      <c r="F79" s="2"/>
      <c r="G79" s="1"/>
      <c r="H79" s="2"/>
      <c r="I79" s="2"/>
      <c r="J79" s="2"/>
      <c r="K79" s="1"/>
    </row>
    <row r="80" spans="5:11" x14ac:dyDescent="0.35">
      <c r="E80" s="1"/>
      <c r="F80" s="2"/>
      <c r="G80" s="1"/>
      <c r="H80" s="2"/>
      <c r="I80" s="2"/>
      <c r="J80" s="2"/>
      <c r="K80" s="1"/>
    </row>
    <row r="81" spans="5:11" x14ac:dyDescent="0.35">
      <c r="E81" s="1"/>
      <c r="F81" s="2"/>
      <c r="G81" s="1"/>
      <c r="H81" s="2"/>
      <c r="I81" s="2"/>
      <c r="J81" s="2"/>
      <c r="K81" s="1"/>
    </row>
    <row r="82" spans="5:11" x14ac:dyDescent="0.35">
      <c r="E82" s="1"/>
      <c r="F82" s="2"/>
      <c r="G82" s="1"/>
      <c r="H82" s="2"/>
      <c r="I82" s="2"/>
      <c r="J82" s="2"/>
      <c r="K82" s="1"/>
    </row>
    <row r="83" spans="5:11" x14ac:dyDescent="0.35">
      <c r="E83" s="1"/>
      <c r="F83" s="2"/>
      <c r="G83" s="1"/>
      <c r="H83" s="2"/>
      <c r="I83" s="2"/>
      <c r="J83" s="2"/>
      <c r="K83" s="1"/>
    </row>
    <row r="84" spans="5:11" x14ac:dyDescent="0.35">
      <c r="E84" s="1"/>
      <c r="F84" s="2"/>
      <c r="G84" s="1"/>
      <c r="H84" s="2"/>
      <c r="I84" s="2"/>
      <c r="J84" s="2"/>
      <c r="K84" s="1"/>
    </row>
    <row r="85" spans="5:11" x14ac:dyDescent="0.35">
      <c r="E85" s="1"/>
      <c r="F85" s="2"/>
      <c r="G85" s="1"/>
      <c r="H85" s="2"/>
      <c r="I85" s="2"/>
      <c r="J85" s="2"/>
      <c r="K85" s="1"/>
    </row>
    <row r="86" spans="5:11" x14ac:dyDescent="0.35">
      <c r="E86" s="1"/>
      <c r="F86" s="2"/>
      <c r="G86" s="1"/>
      <c r="H86" s="2"/>
      <c r="I86" s="2"/>
      <c r="J86" s="2"/>
      <c r="K86" s="1"/>
    </row>
    <row r="87" spans="5:11" x14ac:dyDescent="0.35">
      <c r="E87" s="1"/>
      <c r="F87" s="2"/>
      <c r="G87" s="1"/>
      <c r="H87" s="2"/>
      <c r="I87" s="2"/>
      <c r="J87" s="2"/>
      <c r="K87" s="1"/>
    </row>
    <row r="88" spans="5:11" x14ac:dyDescent="0.35">
      <c r="E88" s="1"/>
      <c r="F88" s="2"/>
      <c r="G88" s="1"/>
      <c r="H88" s="2"/>
      <c r="I88" s="2"/>
      <c r="J88" s="2"/>
      <c r="K88" s="1"/>
    </row>
    <row r="89" spans="5:11" x14ac:dyDescent="0.35">
      <c r="E89" s="1"/>
      <c r="F89" s="2"/>
      <c r="G89" s="1"/>
      <c r="H89" s="2"/>
      <c r="I89" s="2"/>
      <c r="J89" s="2"/>
      <c r="K89" s="1"/>
    </row>
    <row r="90" spans="5:11" x14ac:dyDescent="0.35">
      <c r="E90" s="1"/>
      <c r="F90" s="2"/>
      <c r="G90" s="1"/>
      <c r="H90" s="2"/>
      <c r="I90" s="2"/>
      <c r="J90" s="2"/>
      <c r="K90" s="1"/>
    </row>
    <row r="91" spans="5:11" x14ac:dyDescent="0.35">
      <c r="E91" s="1"/>
      <c r="F91" s="2"/>
      <c r="G91" s="1"/>
      <c r="H91" s="2"/>
      <c r="I91" s="2"/>
      <c r="J91" s="2"/>
      <c r="K91" s="1"/>
    </row>
    <row r="92" spans="5:11" x14ac:dyDescent="0.35">
      <c r="E92" s="1"/>
      <c r="F92" s="2"/>
      <c r="G92" s="1"/>
      <c r="H92" s="2"/>
      <c r="I92" s="2"/>
      <c r="J92" s="2"/>
      <c r="K92" s="1"/>
    </row>
    <row r="93" spans="5:11" x14ac:dyDescent="0.35">
      <c r="E93" s="1"/>
      <c r="F93" s="2"/>
      <c r="G93" s="1"/>
      <c r="H93" s="2"/>
      <c r="I93" s="2"/>
      <c r="J93" s="2"/>
      <c r="K93" s="1"/>
    </row>
    <row r="94" spans="5:11" x14ac:dyDescent="0.35">
      <c r="E94" s="1"/>
      <c r="F94" s="2"/>
      <c r="G94" s="1"/>
      <c r="H94" s="2"/>
      <c r="I94" s="2"/>
      <c r="J94" s="2"/>
      <c r="K94" s="1"/>
    </row>
    <row r="95" spans="5:11" x14ac:dyDescent="0.35">
      <c r="E95" s="1"/>
      <c r="F95" s="2"/>
      <c r="G95" s="1"/>
      <c r="H95" s="2"/>
      <c r="I95" s="2"/>
      <c r="J95" s="2"/>
      <c r="K95" s="1"/>
    </row>
    <row r="96" spans="5:11" x14ac:dyDescent="0.35">
      <c r="E96" s="1"/>
      <c r="F96" s="2"/>
      <c r="G96" s="1"/>
      <c r="H96" s="2"/>
      <c r="I96" s="2"/>
      <c r="J96" s="2"/>
      <c r="K96" s="1"/>
    </row>
    <row r="97" spans="5:11" x14ac:dyDescent="0.35">
      <c r="E97" s="1"/>
      <c r="F97" s="2"/>
      <c r="G97" s="1"/>
      <c r="H97" s="2"/>
      <c r="I97" s="2"/>
      <c r="J97" s="2"/>
      <c r="K97" s="1"/>
    </row>
    <row r="98" spans="5:11" x14ac:dyDescent="0.35">
      <c r="E98" s="1"/>
      <c r="F98" s="2"/>
      <c r="G98" s="1"/>
      <c r="H98" s="2"/>
      <c r="I98" s="2"/>
      <c r="J98" s="2"/>
      <c r="K98" s="1"/>
    </row>
    <row r="99" spans="5:11" x14ac:dyDescent="0.35">
      <c r="E99" s="1"/>
      <c r="F99" s="2"/>
      <c r="G99" s="1"/>
      <c r="H99" s="2"/>
      <c r="I99" s="2"/>
      <c r="J99" s="2"/>
      <c r="K99" s="1"/>
    </row>
    <row r="100" spans="5:11" x14ac:dyDescent="0.35">
      <c r="E100" s="1"/>
      <c r="F100" s="2"/>
      <c r="G100" s="1"/>
      <c r="H100" s="2"/>
      <c r="I100" s="2"/>
      <c r="J100" s="2"/>
      <c r="K100" s="1"/>
    </row>
    <row r="101" spans="5:11" x14ac:dyDescent="0.35">
      <c r="E101" s="1"/>
      <c r="F101" s="2"/>
      <c r="G101" s="1"/>
      <c r="H101" s="2"/>
      <c r="I101" s="2"/>
      <c r="J101" s="2"/>
      <c r="K101" s="1"/>
    </row>
    <row r="102" spans="5:11" x14ac:dyDescent="0.35">
      <c r="E102" s="1"/>
      <c r="F102" s="2"/>
      <c r="G102" s="1"/>
      <c r="H102" s="2"/>
      <c r="I102" s="2"/>
      <c r="J102" s="2"/>
      <c r="K102" s="1"/>
    </row>
    <row r="103" spans="5:11" x14ac:dyDescent="0.35">
      <c r="E103" s="1"/>
      <c r="F103" s="2"/>
      <c r="G103" s="1"/>
      <c r="H103" s="2"/>
      <c r="I103" s="2"/>
      <c r="J103" s="2"/>
      <c r="K103" s="1"/>
    </row>
    <row r="104" spans="5:11" x14ac:dyDescent="0.35">
      <c r="E104" s="1"/>
      <c r="F104" s="2"/>
      <c r="G104" s="1"/>
      <c r="H104" s="2"/>
      <c r="I104" s="2"/>
      <c r="J104" s="2"/>
      <c r="K104" s="1"/>
    </row>
    <row r="105" spans="5:11" x14ac:dyDescent="0.35">
      <c r="E105" s="1"/>
      <c r="F105" s="2"/>
      <c r="G105" s="1"/>
      <c r="H105" s="2"/>
      <c r="I105" s="2"/>
      <c r="J105" s="2"/>
      <c r="K105" s="1"/>
    </row>
    <row r="106" spans="5:11" x14ac:dyDescent="0.35">
      <c r="E106" s="1"/>
      <c r="F106" s="2"/>
      <c r="G106" s="1"/>
      <c r="H106" s="2"/>
      <c r="I106" s="2"/>
      <c r="J106" s="2"/>
      <c r="K106" s="1"/>
    </row>
    <row r="107" spans="5:11" x14ac:dyDescent="0.35">
      <c r="E107" s="1"/>
      <c r="F107" s="2"/>
      <c r="G107" s="1"/>
      <c r="H107" s="2"/>
      <c r="I107" s="2"/>
      <c r="J107" s="2"/>
      <c r="K107" s="1"/>
    </row>
    <row r="108" spans="5:11" x14ac:dyDescent="0.35">
      <c r="E108" s="1"/>
      <c r="F108" s="2"/>
      <c r="G108" s="1"/>
      <c r="H108" s="2"/>
      <c r="I108" s="2"/>
      <c r="J108" s="2"/>
      <c r="K108" s="1"/>
    </row>
    <row r="109" spans="5:11" x14ac:dyDescent="0.35">
      <c r="E109" s="1"/>
      <c r="F109" s="2"/>
      <c r="G109" s="1"/>
      <c r="H109" s="2"/>
      <c r="I109" s="2"/>
      <c r="J109" s="2"/>
      <c r="K109" s="1"/>
    </row>
    <row r="110" spans="5:11" x14ac:dyDescent="0.35">
      <c r="E110" s="1"/>
      <c r="F110" s="2"/>
      <c r="G110" s="1"/>
      <c r="H110" s="2"/>
      <c r="I110" s="2"/>
      <c r="J110" s="2"/>
      <c r="K110" s="1"/>
    </row>
    <row r="111" spans="5:11" x14ac:dyDescent="0.35">
      <c r="E111" s="1"/>
      <c r="F111" s="2"/>
      <c r="G111" s="1"/>
      <c r="H111" s="2"/>
      <c r="I111" s="2"/>
      <c r="J111" s="2"/>
      <c r="K111" s="1"/>
    </row>
    <row r="112" spans="5:11" x14ac:dyDescent="0.35">
      <c r="E112" s="1"/>
      <c r="F112" s="2"/>
      <c r="G112" s="1"/>
      <c r="H112" s="2"/>
      <c r="I112" s="2"/>
      <c r="J112" s="2"/>
      <c r="K112" s="1"/>
    </row>
    <row r="113" spans="5:11" x14ac:dyDescent="0.35">
      <c r="E113" s="1"/>
      <c r="F113" s="2"/>
      <c r="G113" s="1"/>
      <c r="H113" s="2"/>
      <c r="I113" s="2"/>
      <c r="J113" s="2"/>
      <c r="K113" s="1"/>
    </row>
    <row r="114" spans="5:11" x14ac:dyDescent="0.35">
      <c r="E114" s="1"/>
      <c r="F114" s="2"/>
      <c r="G114" s="1"/>
      <c r="H114" s="2"/>
      <c r="I114" s="2"/>
      <c r="J114" s="2"/>
      <c r="K114" s="1"/>
    </row>
    <row r="115" spans="5:11" x14ac:dyDescent="0.35">
      <c r="E115" s="1"/>
      <c r="F115" s="2"/>
      <c r="G115" s="1"/>
      <c r="H115" s="2"/>
      <c r="I115" s="2"/>
      <c r="J115" s="2"/>
      <c r="K115" s="1"/>
    </row>
    <row r="116" spans="5:11" x14ac:dyDescent="0.35">
      <c r="E116" s="1"/>
      <c r="F116" s="2"/>
      <c r="G116" s="2"/>
      <c r="H116" s="2"/>
      <c r="I116" s="2"/>
      <c r="J116" s="2"/>
      <c r="K116" s="1"/>
    </row>
    <row r="117" spans="5:11" x14ac:dyDescent="0.35">
      <c r="E117" s="1"/>
      <c r="F117" s="2"/>
      <c r="G117" s="2"/>
      <c r="H117" s="2"/>
      <c r="I117" s="2"/>
      <c r="J117" s="2"/>
      <c r="K117" s="1"/>
    </row>
    <row r="118" spans="5:11" x14ac:dyDescent="0.35">
      <c r="E118" s="1"/>
      <c r="F118" s="2"/>
      <c r="G118" s="2"/>
      <c r="H118" s="2"/>
      <c r="I118" s="2"/>
      <c r="J118" s="2"/>
      <c r="K118" s="2"/>
    </row>
    <row r="119" spans="5:11" x14ac:dyDescent="0.35">
      <c r="E119" s="1"/>
      <c r="F119" s="2"/>
      <c r="G119" s="2"/>
      <c r="H119" s="2"/>
      <c r="I119" s="2"/>
      <c r="J119" s="2"/>
      <c r="K1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Skilyrði taxta</vt:lpstr>
      <vt:lpstr>VA210</vt:lpstr>
      <vt:lpstr>VA230</vt:lpstr>
      <vt:lpstr>BD2</vt:lpstr>
      <vt:lpstr>BD3</vt:lpstr>
      <vt:lpstr>BD5</vt:lpstr>
      <vt:lpstr>VNV</vt:lpstr>
      <vt:lpstr>Sala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Jónína Matthíasdóttir</dc:creator>
  <cp:lastModifiedBy>Jónína Matthíasdóttir</cp:lastModifiedBy>
  <dcterms:created xsi:type="dcterms:W3CDTF">2026-03-17T14:54:58Z</dcterms:created>
  <dcterms:modified xsi:type="dcterms:W3CDTF">2026-04-16T08:51:13Z</dcterms:modified>
</cp:coreProperties>
</file>